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vasta\Desktop\LastMouseStanding\Excel\"/>
    </mc:Choice>
  </mc:AlternateContent>
  <xr:revisionPtr revIDLastSave="0" documentId="13_ncr:1_{87D8D447-D943-4B19-9D4C-E66E5777592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ryScript" sheetId="1" r:id="rId1"/>
    <sheet name="TestScript2" sheetId="2" r:id="rId2"/>
    <sheet name="Defal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8" i="1" l="1"/>
  <c r="F258" i="1" s="1"/>
  <c r="E257" i="1"/>
  <c r="F257" i="1" s="1"/>
  <c r="E256" i="1"/>
  <c r="F256" i="1" s="1"/>
  <c r="E255" i="1"/>
  <c r="F255" i="1" s="1"/>
  <c r="E254" i="1"/>
  <c r="F254" i="1" s="1"/>
  <c r="E253" i="1"/>
  <c r="E252" i="1"/>
  <c r="F252" i="1" s="1"/>
  <c r="E251" i="1"/>
  <c r="F251" i="1" s="1"/>
  <c r="E250" i="1"/>
  <c r="F250" i="1" s="1"/>
  <c r="E249" i="1"/>
  <c r="F249" i="1" s="1"/>
  <c r="E248" i="1"/>
  <c r="F248" i="1" s="1"/>
  <c r="E247" i="1"/>
  <c r="F247" i="1" s="1"/>
  <c r="E246" i="1"/>
  <c r="F246" i="1" s="1"/>
  <c r="E245" i="1"/>
  <c r="F245" i="1" s="1"/>
  <c r="E244" i="1"/>
  <c r="F244" i="1" s="1"/>
  <c r="E243" i="1"/>
  <c r="F243" i="1" s="1"/>
  <c r="E241" i="1"/>
  <c r="E239" i="1"/>
  <c r="F239" i="1" s="1"/>
  <c r="E238" i="1"/>
  <c r="F238" i="1" s="1"/>
  <c r="E237" i="1"/>
  <c r="F237" i="1" s="1"/>
  <c r="E236" i="1"/>
  <c r="F236" i="1" s="1"/>
  <c r="E235" i="1"/>
  <c r="F235" i="1" s="1"/>
  <c r="E234" i="1"/>
  <c r="F234" i="1" s="1"/>
  <c r="E233" i="1"/>
  <c r="F233" i="1" s="1"/>
  <c r="E232" i="1"/>
  <c r="F232" i="1" s="1"/>
  <c r="E230" i="1"/>
  <c r="F230" i="1" s="1"/>
  <c r="E229" i="1"/>
  <c r="E227" i="1"/>
  <c r="F227" i="1" s="1"/>
  <c r="E225" i="1"/>
  <c r="F225" i="1" s="1"/>
  <c r="E224" i="1"/>
  <c r="F224" i="1" s="1"/>
  <c r="E223" i="1"/>
  <c r="F223" i="1" s="1"/>
  <c r="E222" i="1"/>
  <c r="F222" i="1" s="1"/>
  <c r="E221" i="1"/>
  <c r="F221" i="1" s="1"/>
  <c r="E220" i="1"/>
  <c r="F220" i="1" s="1"/>
  <c r="E219" i="1"/>
  <c r="E218" i="1"/>
  <c r="F218" i="1" s="1"/>
  <c r="E216" i="1"/>
  <c r="E215" i="1"/>
  <c r="F215" i="1" s="1"/>
  <c r="E214" i="1"/>
  <c r="E213" i="1"/>
  <c r="E212" i="1"/>
  <c r="E211" i="1"/>
  <c r="E210" i="1"/>
  <c r="F210" i="1" s="1"/>
  <c r="E205" i="1"/>
  <c r="F205" i="1" s="1"/>
  <c r="E204" i="1"/>
  <c r="F204" i="1" s="1"/>
  <c r="E201" i="1"/>
  <c r="F201" i="1" s="1"/>
  <c r="E198" i="1"/>
  <c r="E196" i="1"/>
  <c r="E195" i="1"/>
  <c r="E193" i="1"/>
  <c r="E192" i="1"/>
  <c r="E191" i="1"/>
  <c r="E190" i="1"/>
  <c r="E188" i="1"/>
  <c r="E187" i="1"/>
  <c r="F187" i="1" s="1"/>
  <c r="E186" i="1"/>
  <c r="F186" i="1" s="1"/>
  <c r="E185" i="1"/>
  <c r="E184" i="1"/>
  <c r="E183" i="1"/>
  <c r="E181" i="1"/>
  <c r="E147" i="1"/>
  <c r="E160" i="1"/>
  <c r="F160" i="1" s="1"/>
  <c r="E159" i="1"/>
  <c r="F159" i="1" s="1"/>
  <c r="E158" i="1"/>
  <c r="F158" i="1" s="1"/>
  <c r="E157" i="1"/>
  <c r="E156" i="1"/>
  <c r="E155" i="1"/>
  <c r="F155" i="1" s="1"/>
  <c r="E154" i="1"/>
  <c r="F154" i="1" s="1"/>
  <c r="E153" i="1"/>
  <c r="F153" i="1" s="1"/>
  <c r="E179" i="1"/>
  <c r="E178" i="1"/>
  <c r="E177" i="1"/>
  <c r="E176" i="1"/>
  <c r="F176" i="1" s="1"/>
  <c r="E175" i="1"/>
  <c r="F175" i="1" s="1"/>
  <c r="E174" i="1"/>
  <c r="E173" i="1"/>
  <c r="E172" i="1"/>
  <c r="E171" i="1"/>
  <c r="F171" i="1" s="1"/>
  <c r="E170" i="1"/>
  <c r="E169" i="1"/>
  <c r="E168" i="1"/>
  <c r="F168" i="1" s="1"/>
  <c r="E167" i="1"/>
  <c r="E166" i="1"/>
  <c r="E164" i="1"/>
  <c r="E163" i="1"/>
  <c r="F163" i="1" s="1"/>
  <c r="E165" i="1"/>
  <c r="F253" i="1"/>
  <c r="F241" i="1"/>
  <c r="F229" i="1"/>
  <c r="F219" i="1"/>
  <c r="F214" i="1"/>
  <c r="F211" i="1"/>
  <c r="F198" i="1"/>
  <c r="F196" i="1"/>
  <c r="F190" i="1"/>
  <c r="F188" i="1"/>
  <c r="F183" i="1"/>
  <c r="F179" i="1"/>
  <c r="F177" i="1"/>
  <c r="F173" i="1"/>
  <c r="F164" i="1"/>
  <c r="F157" i="1"/>
  <c r="F156" i="1"/>
  <c r="F120" i="1"/>
  <c r="F117" i="1"/>
  <c r="F72" i="1"/>
  <c r="F4" i="1"/>
  <c r="H70" i="1"/>
  <c r="E70" i="1"/>
  <c r="F70" i="1" s="1"/>
  <c r="E3" i="1"/>
  <c r="F3" i="1" s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67" i="1"/>
  <c r="H66" i="1"/>
  <c r="H65" i="1"/>
  <c r="H64" i="1"/>
  <c r="H63" i="1"/>
  <c r="H62" i="1"/>
  <c r="H61" i="1"/>
  <c r="H60" i="1"/>
  <c r="H58" i="1"/>
  <c r="H57" i="1"/>
  <c r="H56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6" i="1"/>
  <c r="H35" i="1"/>
  <c r="H34" i="1"/>
  <c r="H30" i="1"/>
  <c r="H29" i="1"/>
  <c r="H28" i="1"/>
  <c r="H25" i="1"/>
  <c r="H24" i="1"/>
  <c r="H21" i="1"/>
  <c r="H14" i="1"/>
  <c r="H8" i="1"/>
  <c r="H7" i="1"/>
  <c r="H6" i="1"/>
  <c r="H5" i="1"/>
  <c r="E75" i="1"/>
  <c r="F75" i="1" s="1"/>
  <c r="E72" i="1"/>
  <c r="E5" i="1" l="1"/>
  <c r="F5" i="1" s="1"/>
  <c r="E6" i="1"/>
  <c r="F6" i="1" s="1"/>
  <c r="E7" i="1"/>
  <c r="F7" i="1" s="1"/>
  <c r="E8" i="1"/>
  <c r="F8" i="1" s="1"/>
  <c r="E14" i="1"/>
  <c r="F14" i="1" s="1"/>
  <c r="E20" i="1"/>
  <c r="F20" i="1" s="1"/>
  <c r="E21" i="1"/>
  <c r="F21" i="1" s="1"/>
  <c r="E22" i="1"/>
  <c r="F22" i="1" s="1"/>
  <c r="E23" i="1"/>
  <c r="F23" i="1" s="1"/>
  <c r="E24" i="1"/>
  <c r="F24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9" i="1"/>
  <c r="F39" i="1" s="1"/>
  <c r="E40" i="1"/>
  <c r="F40" i="1" s="1"/>
  <c r="E41" i="1"/>
  <c r="F41" i="1" s="1"/>
  <c r="E42" i="1"/>
  <c r="F42" i="1" s="1"/>
  <c r="E43" i="1"/>
  <c r="F43" i="1" s="1"/>
  <c r="E44" i="1"/>
  <c r="F44" i="1" s="1"/>
  <c r="E45" i="1"/>
  <c r="F45" i="1" s="1"/>
  <c r="E46" i="1"/>
  <c r="F46" i="1" s="1"/>
  <c r="E47" i="1"/>
  <c r="F47" i="1" s="1"/>
  <c r="E48" i="1"/>
  <c r="F48" i="1" s="1"/>
  <c r="E49" i="1"/>
  <c r="F49" i="1" s="1"/>
  <c r="E50" i="1"/>
  <c r="F50" i="1" s="1"/>
  <c r="E51" i="1"/>
  <c r="F51" i="1" s="1"/>
  <c r="E52" i="1"/>
  <c r="F52" i="1" s="1"/>
  <c r="E53" i="1"/>
  <c r="F53" i="1" s="1"/>
  <c r="E56" i="1"/>
  <c r="F56" i="1" s="1"/>
  <c r="E57" i="1"/>
  <c r="F57" i="1" s="1"/>
  <c r="E58" i="1"/>
  <c r="F58" i="1" s="1"/>
  <c r="E60" i="1"/>
  <c r="F60" i="1" s="1"/>
  <c r="E61" i="1"/>
  <c r="F61" i="1" s="1"/>
  <c r="E62" i="1"/>
  <c r="F62" i="1" s="1"/>
  <c r="E63" i="1"/>
  <c r="F63" i="1" s="1"/>
  <c r="E64" i="1"/>
  <c r="F64" i="1" s="1"/>
  <c r="E65" i="1"/>
  <c r="F65" i="1" s="1"/>
  <c r="E66" i="1"/>
  <c r="F66" i="1" s="1"/>
  <c r="E67" i="1"/>
  <c r="F67" i="1" s="1"/>
  <c r="E73" i="1"/>
  <c r="F73" i="1" s="1"/>
  <c r="E74" i="1"/>
  <c r="F74" i="1" s="1"/>
  <c r="E76" i="1"/>
  <c r="F76" i="1" s="1"/>
  <c r="E77" i="1"/>
  <c r="F77" i="1" s="1"/>
  <c r="E78" i="1"/>
  <c r="F78" i="1" s="1"/>
  <c r="E79" i="1"/>
  <c r="F79" i="1" s="1"/>
  <c r="E80" i="1"/>
  <c r="F80" i="1" s="1"/>
  <c r="E81" i="1"/>
  <c r="F81" i="1" s="1"/>
  <c r="E82" i="1"/>
  <c r="F82" i="1" s="1"/>
  <c r="E83" i="1"/>
  <c r="F83" i="1" s="1"/>
  <c r="E84" i="1"/>
  <c r="F84" i="1" s="1"/>
  <c r="E85" i="1"/>
  <c r="F85" i="1" s="1"/>
  <c r="E86" i="1"/>
  <c r="F86" i="1" s="1"/>
  <c r="E87" i="1"/>
  <c r="F87" i="1" s="1"/>
  <c r="E88" i="1"/>
  <c r="F88" i="1" s="1"/>
  <c r="E89" i="1"/>
  <c r="F89" i="1" s="1"/>
  <c r="E92" i="1"/>
  <c r="F92" i="1" s="1"/>
  <c r="E93" i="1"/>
  <c r="F93" i="1" s="1"/>
  <c r="E95" i="1"/>
  <c r="F95" i="1" s="1"/>
  <c r="E96" i="1"/>
  <c r="F96" i="1" s="1"/>
  <c r="E97" i="1"/>
  <c r="F97" i="1" s="1"/>
  <c r="E98" i="1"/>
  <c r="F98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8" i="1"/>
  <c r="F108" i="1" s="1"/>
  <c r="E111" i="1"/>
  <c r="F111" i="1" s="1"/>
  <c r="E116" i="1"/>
  <c r="F116" i="1" s="1"/>
  <c r="E118" i="1"/>
  <c r="F118" i="1" s="1"/>
  <c r="E119" i="1"/>
  <c r="F119" i="1" s="1"/>
  <c r="E125" i="1"/>
  <c r="F125" i="1" s="1"/>
  <c r="F126" i="1"/>
  <c r="E127" i="1"/>
  <c r="F127" i="1" s="1"/>
  <c r="E128" i="1"/>
  <c r="F128" i="1" s="1"/>
  <c r="E129" i="1"/>
  <c r="F129" i="1" s="1"/>
  <c r="E130" i="1"/>
  <c r="F130" i="1" s="1"/>
  <c r="E131" i="1"/>
  <c r="F131" i="1" s="1"/>
  <c r="E132" i="1"/>
  <c r="F132" i="1" s="1"/>
  <c r="E133" i="1"/>
  <c r="F133" i="1" s="1"/>
  <c r="E134" i="1"/>
  <c r="F134" i="1" s="1"/>
  <c r="E135" i="1"/>
  <c r="F135" i="1" s="1"/>
  <c r="E136" i="1"/>
  <c r="F136" i="1" s="1"/>
  <c r="E137" i="1"/>
  <c r="F137" i="1" s="1"/>
  <c r="E138" i="1"/>
  <c r="F138" i="1" s="1"/>
  <c r="E139" i="1"/>
  <c r="F139" i="1" s="1"/>
  <c r="F146" i="1"/>
  <c r="F147" i="1"/>
  <c r="F165" i="1"/>
  <c r="F166" i="1"/>
  <c r="F167" i="1"/>
  <c r="F169" i="1"/>
  <c r="F170" i="1"/>
  <c r="F172" i="1"/>
  <c r="F174" i="1"/>
  <c r="F178" i="1"/>
  <c r="F181" i="1"/>
  <c r="F184" i="1"/>
  <c r="F185" i="1"/>
  <c r="F191" i="1"/>
  <c r="F192" i="1"/>
  <c r="F193" i="1"/>
  <c r="F195" i="1"/>
  <c r="F212" i="1"/>
  <c r="F213" i="1"/>
  <c r="F2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이성준</author>
    <author>COwl</author>
    <author>쉉</author>
  </authors>
  <commentList>
    <comment ref="B1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이성준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게임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스토리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게임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스토리</t>
        </r>
      </text>
    </comment>
    <comment ref="D1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COwl: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캐릭터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이름입니다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파일명과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</text>
    </comment>
    <comment ref="F1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COwl: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좌우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뜻합니다</t>
        </r>
        <r>
          <rPr>
            <sz val="9"/>
            <color indexed="81"/>
            <rFont val="Tahoma"/>
            <family val="2"/>
          </rPr>
          <t xml:space="preserve">. 1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 xml:space="preserve">, 2 </t>
        </r>
        <r>
          <rPr>
            <sz val="9"/>
            <color indexed="81"/>
            <rFont val="돋움"/>
            <family val="3"/>
            <charset val="129"/>
          </rPr>
          <t>좌우반전</t>
        </r>
      </text>
    </comment>
    <comment ref="I1" authorId="0" shapeId="0" xr:uid="{00000000-0006-0000-0000-000004000000}">
      <text>
        <r>
          <rPr>
            <b/>
            <sz val="9"/>
            <color indexed="81"/>
            <rFont val="돋움"/>
            <family val="3"/>
            <charset val="129"/>
          </rPr>
          <t>이성준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DisplayType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이미지를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포커싱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,
0 = </t>
        </r>
        <r>
          <rPr>
            <sz val="9"/>
            <color indexed="81"/>
            <rFont val="돋움"/>
            <family val="3"/>
            <charset val="129"/>
          </rPr>
          <t>둘다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밝게
</t>
        </r>
        <r>
          <rPr>
            <sz val="9"/>
            <color indexed="81"/>
            <rFont val="Tahoma"/>
            <family val="2"/>
          </rPr>
          <t xml:space="preserve">3 = </t>
        </r>
        <r>
          <rPr>
            <sz val="9"/>
            <color indexed="81"/>
            <rFont val="돋움"/>
            <family val="3"/>
            <charset val="129"/>
          </rPr>
          <t>둘다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어둡게</t>
        </r>
      </text>
    </comment>
    <comment ref="K1" authorId="2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BGM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효과음에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스테이지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붙이는게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편할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같아요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음원을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뒤에서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거고</t>
        </r>
      </text>
    </comment>
    <comment ref="D103" authorId="2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쉉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Player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Player1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스탠딩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아닌지</t>
        </r>
        <r>
          <rPr>
            <sz val="9"/>
            <color indexed="81"/>
            <rFont val="Tahoma"/>
            <family val="2"/>
          </rPr>
          <t>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COwl</author>
  </authors>
  <commentList>
    <comment ref="C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COwl: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캐릭터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이름입니다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파일명과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</text>
    </comment>
    <comment ref="E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COwl: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좌우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뜻합니다</t>
        </r>
        <r>
          <rPr>
            <sz val="9"/>
            <color indexed="81"/>
            <rFont val="Tahoma"/>
            <family val="2"/>
          </rPr>
          <t xml:space="preserve">. 1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 xml:space="preserve">, 2 </t>
        </r>
        <r>
          <rPr>
            <sz val="9"/>
            <color indexed="81"/>
            <rFont val="돋움"/>
            <family val="3"/>
            <charset val="129"/>
          </rPr>
          <t>좌우반전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COwl</author>
  </authors>
  <commentList>
    <comment ref="C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COwl: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캐릭터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이름입니다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파일명과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</text>
    </comment>
    <comment ref="E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COwl: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좌우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뜻합니다</t>
        </r>
        <r>
          <rPr>
            <sz val="9"/>
            <color indexed="81"/>
            <rFont val="Tahoma"/>
            <family val="2"/>
          </rPr>
          <t xml:space="preserve">. 1 </t>
        </r>
        <r>
          <rPr>
            <sz val="9"/>
            <color indexed="81"/>
            <rFont val="돋움"/>
            <family val="3"/>
            <charset val="129"/>
          </rPr>
          <t>정상</t>
        </r>
        <r>
          <rPr>
            <sz val="9"/>
            <color indexed="81"/>
            <rFont val="Tahoma"/>
            <family val="2"/>
          </rPr>
          <t xml:space="preserve">, 2 </t>
        </r>
        <r>
          <rPr>
            <sz val="9"/>
            <color indexed="81"/>
            <rFont val="돋움"/>
            <family val="3"/>
            <charset val="129"/>
          </rPr>
          <t>좌우반전</t>
        </r>
      </text>
    </comment>
  </commentList>
</comments>
</file>

<file path=xl/sharedStrings.xml><?xml version="1.0" encoding="utf-8"?>
<sst xmlns="http://schemas.openxmlformats.org/spreadsheetml/2006/main" count="3067" uniqueCount="571">
  <si>
    <t>Order</t>
    <phoneticPr fontId="1" type="noConversion"/>
  </si>
  <si>
    <t>CharacterName</t>
    <phoneticPr fontId="1" type="noConversion"/>
  </si>
  <si>
    <t>textKr</t>
    <phoneticPr fontId="1" type="noConversion"/>
  </si>
  <si>
    <t>textEn</t>
    <phoneticPr fontId="1" type="noConversion"/>
  </si>
  <si>
    <t>Scenario</t>
    <phoneticPr fontId="1" type="noConversion"/>
  </si>
  <si>
    <t>CharPos</t>
    <phoneticPr fontId="1" type="noConversion"/>
  </si>
  <si>
    <t>DisplayType</t>
    <phoneticPr fontId="1" type="noConversion"/>
  </si>
  <si>
    <t>Emotion</t>
    <phoneticPr fontId="1" type="noConversion"/>
  </si>
  <si>
    <t>Character1</t>
    <phoneticPr fontId="1" type="noConversion"/>
  </si>
  <si>
    <t>Idle</t>
    <phoneticPr fontId="1" type="noConversion"/>
  </si>
  <si>
    <t>안녕하세요. 고양이부엉이 입니다.</t>
    <phoneticPr fontId="1" type="noConversion"/>
  </si>
  <si>
    <t>Hello. My Name Is CatOwl.</t>
    <phoneticPr fontId="1" type="noConversion"/>
  </si>
  <si>
    <t>이봐, 정신 차려!</t>
    <phoneticPr fontId="1" type="noConversion"/>
  </si>
  <si>
    <t>중앙</t>
    <phoneticPr fontId="1" type="noConversion"/>
  </si>
  <si>
    <t xml:space="preserve">여기가 어디지...?
</t>
    <phoneticPr fontId="1" type="noConversion"/>
  </si>
  <si>
    <t>중앙     우리 집이야.</t>
  </si>
  <si>
    <r>
      <rPr>
        <sz val="11"/>
        <color rgb="FF000000"/>
        <rFont val="돋움"/>
        <family val="3"/>
        <charset val="129"/>
      </rPr>
      <t>너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숲에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쓰러져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있었어</t>
    </r>
    <r>
      <rPr>
        <sz val="11"/>
        <color rgb="FF000000"/>
        <rFont val="Arial"/>
        <family val="2"/>
      </rPr>
      <t>.</t>
    </r>
    <phoneticPr fontId="1" type="noConversion"/>
  </si>
  <si>
    <r>
      <rPr>
        <sz val="11"/>
        <color rgb="FF000000"/>
        <rFont val="돋움"/>
        <family val="3"/>
        <charset val="129"/>
      </rPr>
      <t>기억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안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나</t>
    </r>
    <r>
      <rPr>
        <sz val="11"/>
        <color rgb="FF000000"/>
        <rFont val="Arial"/>
        <family val="2"/>
      </rPr>
      <t>?</t>
    </r>
    <phoneticPr fontId="1" type="noConversion"/>
  </si>
  <si>
    <t>기억...?</t>
  </si>
  <si>
    <r>
      <rPr>
        <sz val="11"/>
        <color rgb="FF000000"/>
        <rFont val="돋움"/>
        <family val="3"/>
        <charset val="129"/>
      </rPr>
      <t>그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순간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머리가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쪼개질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듯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아파오며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몇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가지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장면이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떠올랐다</t>
    </r>
    <r>
      <rPr>
        <sz val="11"/>
        <color rgb="FF000000"/>
        <rFont val="Arial"/>
        <family val="2"/>
      </rPr>
      <t>.</t>
    </r>
    <phoneticPr fontId="1" type="noConversion"/>
  </si>
  <si>
    <r>
      <rPr>
        <sz val="11"/>
        <color rgb="FF000000"/>
        <rFont val="돋움"/>
        <family val="3"/>
        <charset val="129"/>
      </rPr>
      <t>하얗고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거대한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괴물들</t>
    </r>
    <r>
      <rPr>
        <sz val="11"/>
        <color rgb="FF000000"/>
        <rFont val="Arial"/>
        <family val="2"/>
      </rPr>
      <t>,</t>
    </r>
    <phoneticPr fontId="1" type="noConversion"/>
  </si>
  <si>
    <r>
      <rPr>
        <sz val="11"/>
        <color rgb="FF000000"/>
        <rFont val="돋움"/>
        <family val="3"/>
        <charset val="129"/>
      </rPr>
      <t>겁에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질린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친구들</t>
    </r>
    <r>
      <rPr>
        <sz val="11"/>
        <color rgb="FF000000"/>
        <rFont val="Arial"/>
        <family val="2"/>
      </rPr>
      <t>,</t>
    </r>
    <phoneticPr fontId="1" type="noConversion"/>
  </si>
  <si>
    <t>우리를 붙잡는 커다란 괴물의 발,</t>
  </si>
  <si>
    <t>살갗을 뚫고 들어가는 괴물들의 뾰족한...</t>
  </si>
  <si>
    <r>
      <rPr>
        <sz val="11"/>
        <color rgb="FF000000"/>
        <rFont val="돋움"/>
        <family val="3"/>
        <charset val="129"/>
      </rPr>
      <t>안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돼</t>
    </r>
    <r>
      <rPr>
        <sz val="11"/>
        <color rgb="FF000000"/>
        <rFont val="Arial"/>
        <family val="2"/>
      </rPr>
      <t xml:space="preserve">!! </t>
    </r>
    <r>
      <rPr>
        <sz val="11"/>
        <color rgb="FF000000"/>
        <rFont val="돋움"/>
        <family val="3"/>
        <charset val="129"/>
      </rPr>
      <t>안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돼</t>
    </r>
    <r>
      <rPr>
        <sz val="11"/>
        <color rgb="FF000000"/>
        <rFont val="Arial"/>
        <family val="2"/>
      </rPr>
      <t>!!</t>
    </r>
    <phoneticPr fontId="1" type="noConversion"/>
  </si>
  <si>
    <t>달려야 해.</t>
  </si>
  <si>
    <t>잡히면 안 돼.</t>
  </si>
  <si>
    <r>
      <rPr>
        <sz val="11"/>
        <color rgb="FF000000"/>
        <rFont val="돋움"/>
        <family val="3"/>
        <charset val="129"/>
      </rPr>
      <t>도망쳐야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해</t>
    </r>
    <r>
      <rPr>
        <sz val="11"/>
        <color rgb="FF000000"/>
        <rFont val="Arial"/>
        <family val="2"/>
      </rPr>
      <t>.</t>
    </r>
    <phoneticPr fontId="1" type="noConversion"/>
  </si>
  <si>
    <t>안 돼. 안 돼. 안 돼...</t>
  </si>
  <si>
    <r>
      <rPr>
        <sz val="11"/>
        <color rgb="FF000000"/>
        <rFont val="돋움"/>
        <family val="3"/>
        <charset val="129"/>
      </rPr>
      <t>괜찮아</t>
    </r>
    <r>
      <rPr>
        <sz val="11"/>
        <color rgb="FF000000"/>
        <rFont val="Arial"/>
        <family val="2"/>
      </rPr>
      <t xml:space="preserve">! </t>
    </r>
    <r>
      <rPr>
        <sz val="11"/>
        <color rgb="FF000000"/>
        <rFont val="돋움"/>
        <family val="3"/>
        <charset val="129"/>
      </rPr>
      <t>여긴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안전해</t>
    </r>
    <r>
      <rPr>
        <sz val="11"/>
        <color rgb="FF000000"/>
        <rFont val="Arial"/>
        <family val="2"/>
      </rPr>
      <t>!</t>
    </r>
    <phoneticPr fontId="1" type="noConversion"/>
  </si>
  <si>
    <t>이제 진정이 좀 됐어?</t>
  </si>
  <si>
    <r>
      <rPr>
        <sz val="11"/>
        <color rgb="FF000000"/>
        <rFont val="돋움"/>
        <family val="3"/>
        <charset val="129"/>
      </rPr>
      <t>으</t>
    </r>
    <r>
      <rPr>
        <sz val="11"/>
        <color rgb="FF000000"/>
        <rFont val="Arial"/>
        <family val="2"/>
      </rPr>
      <t xml:space="preserve">, </t>
    </r>
    <r>
      <rPr>
        <sz val="11"/>
        <color rgb="FF000000"/>
        <rFont val="돋움"/>
        <family val="3"/>
        <charset val="129"/>
      </rPr>
      <t>응</t>
    </r>
    <r>
      <rPr>
        <sz val="11"/>
        <color rgb="FF000000"/>
        <rFont val="Arial"/>
        <family val="2"/>
      </rPr>
      <t xml:space="preserve">... </t>
    </r>
    <r>
      <rPr>
        <sz val="11"/>
        <color rgb="FF000000"/>
        <rFont val="돋움"/>
        <family val="3"/>
        <charset val="129"/>
      </rPr>
      <t>고마워</t>
    </r>
    <r>
      <rPr>
        <sz val="11"/>
        <color rgb="FF000000"/>
        <rFont val="Arial"/>
        <family val="2"/>
      </rPr>
      <t>.</t>
    </r>
    <phoneticPr fontId="1" type="noConversion"/>
  </si>
  <si>
    <t>근처에서 못 보던 쥐인데...</t>
  </si>
  <si>
    <r>
      <rPr>
        <sz val="11"/>
        <color rgb="FF000000"/>
        <rFont val="돋움"/>
        <family val="3"/>
        <charset val="129"/>
      </rPr>
      <t>어쩌다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여기까지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온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거야</t>
    </r>
    <r>
      <rPr>
        <sz val="11"/>
        <color rgb="FF000000"/>
        <rFont val="Arial"/>
        <family val="2"/>
      </rPr>
      <t>?</t>
    </r>
    <phoneticPr fontId="1" type="noConversion"/>
  </si>
  <si>
    <t>모르겠어...</t>
  </si>
  <si>
    <t>정신 없이 달리다 보니 여기까지 왔어.</t>
  </si>
  <si>
    <r>
      <rPr>
        <sz val="11"/>
        <color rgb="FF000000"/>
        <rFont val="돋움"/>
        <family val="3"/>
        <charset val="129"/>
      </rPr>
      <t>그럼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집까지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데려다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줄게</t>
    </r>
    <r>
      <rPr>
        <sz val="11"/>
        <color rgb="FF000000"/>
        <rFont val="Arial"/>
        <family val="2"/>
      </rPr>
      <t>.</t>
    </r>
    <phoneticPr fontId="1" type="noConversion"/>
  </si>
  <si>
    <t>너희 집은 어디야?</t>
  </si>
  <si>
    <r>
      <rPr>
        <sz val="11"/>
        <color rgb="FF000000"/>
        <rFont val="맑은 고딕"/>
        <family val="2"/>
        <charset val="129"/>
      </rPr>
      <t>집</t>
    </r>
    <r>
      <rPr>
        <sz val="11"/>
        <color rgb="FF000000"/>
        <rFont val="Arial"/>
        <family val="2"/>
      </rPr>
      <t>...?</t>
    </r>
    <phoneticPr fontId="1" type="noConversion"/>
  </si>
  <si>
    <r>
      <rPr>
        <sz val="11"/>
        <color rgb="FF000000"/>
        <rFont val="맑은 고딕"/>
        <family val="2"/>
        <charset val="129"/>
      </rPr>
      <t>나</t>
    </r>
    <r>
      <rPr>
        <sz val="11"/>
        <color rgb="FF000000"/>
        <rFont val="Arial"/>
        <family val="2"/>
      </rPr>
      <t xml:space="preserve">... </t>
    </r>
    <r>
      <rPr>
        <sz val="11"/>
        <color rgb="FF000000"/>
        <rFont val="맑은 고딕"/>
        <family val="2"/>
        <charset val="129"/>
      </rPr>
      <t>도망쳐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맑은 고딕"/>
        <family val="2"/>
        <charset val="129"/>
      </rPr>
      <t>나왔어</t>
    </r>
    <r>
      <rPr>
        <sz val="11"/>
        <color rgb="FF000000"/>
        <rFont val="Arial"/>
        <family val="2"/>
      </rPr>
      <t>.</t>
    </r>
    <phoneticPr fontId="1" type="noConversion"/>
  </si>
  <si>
    <t>돌아갈 곳이 없어.</t>
  </si>
  <si>
    <t>그렇구나...</t>
  </si>
  <si>
    <t xml:space="preserve">그럼 우리 집에서 살면 어때?
</t>
    <phoneticPr fontId="1" type="noConversion"/>
  </si>
  <si>
    <t>나, 독립한 지 얼마 안돼서 가족이 없거든.</t>
  </si>
  <si>
    <t>정말 그래도 될까?</t>
  </si>
  <si>
    <t>당연하지!</t>
  </si>
  <si>
    <t>내 이름은 아바로야. 잘 부탁해!</t>
  </si>
  <si>
    <t>그렇게 나는 아바로의 집에서 새로운 생활을 시작하게 되었다.</t>
  </si>
  <si>
    <t>아바로는 나를 정성껏 간호해주었다.</t>
  </si>
  <si>
    <t>기력을 보충하는 데 좋은 약초야.</t>
  </si>
  <si>
    <r>
      <rPr>
        <sz val="11"/>
        <color rgb="FF000000"/>
        <rFont val="돋움"/>
        <family val="3"/>
        <charset val="129"/>
      </rPr>
      <t>먹어봐</t>
    </r>
    <r>
      <rPr>
        <sz val="11"/>
        <color rgb="FF000000"/>
        <rFont val="Arial"/>
        <family val="2"/>
      </rPr>
      <t>.</t>
    </r>
    <phoneticPr fontId="1" type="noConversion"/>
  </si>
  <si>
    <t>윽. 너무 써...</t>
  </si>
  <si>
    <t>안돼.</t>
  </si>
  <si>
    <t>약을 먹어야 빨리 낫지.</t>
  </si>
  <si>
    <r>
      <rPr>
        <sz val="11"/>
        <color rgb="FF000000"/>
        <rFont val="돋움"/>
        <family val="3"/>
        <charset val="129"/>
      </rPr>
      <t>으으</t>
    </r>
    <r>
      <rPr>
        <sz val="11"/>
        <color rgb="FF000000"/>
        <rFont val="Arial"/>
        <family val="2"/>
      </rPr>
      <t>…</t>
    </r>
    <phoneticPr fontId="1" type="noConversion"/>
  </si>
  <si>
    <r>
      <rPr>
        <sz val="11"/>
        <color rgb="FF000000"/>
        <rFont val="돋움"/>
        <family val="3"/>
        <charset val="129"/>
      </rPr>
      <t>깨어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있어</t>
    </r>
    <r>
      <rPr>
        <sz val="11"/>
        <color rgb="FF000000"/>
        <rFont val="Arial"/>
        <family val="2"/>
      </rPr>
      <t>?</t>
    </r>
    <phoneticPr fontId="1" type="noConversion"/>
  </si>
  <si>
    <t>어디 갔다 온 거야?</t>
  </si>
  <si>
    <t>한참 안 와서 걱정했어.</t>
  </si>
  <si>
    <t> 이걸 좀 찾아오느라…</t>
  </si>
  <si>
    <t>우와! 산딸기네!</t>
  </si>
  <si>
    <r>
      <rPr>
        <sz val="11"/>
        <color rgb="FF000000"/>
        <rFont val="돋움"/>
        <family val="3"/>
        <charset val="129"/>
      </rPr>
      <t>나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이거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진짜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좋아해</t>
    </r>
    <r>
      <rPr>
        <sz val="11"/>
        <color rgb="FF000000"/>
        <rFont val="Arial"/>
        <family val="2"/>
      </rPr>
      <t>.</t>
    </r>
    <phoneticPr fontId="1" type="noConversion"/>
  </si>
  <si>
    <r>
      <rPr>
        <sz val="11"/>
        <color rgb="FF000000"/>
        <rFont val="돋움"/>
        <family val="3"/>
        <charset val="129"/>
      </rPr>
      <t>너무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달콤하고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맛있다</t>
    </r>
    <r>
      <rPr>
        <sz val="11"/>
        <color rgb="FF000000"/>
        <rFont val="Arial"/>
        <family val="2"/>
      </rPr>
      <t>!</t>
    </r>
    <phoneticPr fontId="1" type="noConversion"/>
  </si>
  <si>
    <t>네가 약을 너무 먹기 힘들어하길래 단 걸 먹여주고 싶어서…</t>
  </si>
  <si>
    <t>그렇게 말하는 아바로의 손과 발은 흙투성이가 되어 있었다.</t>
  </si>
  <si>
    <t>얼마나 오래 산딸기를 찾아다닌 걸까?</t>
  </si>
  <si>
    <t>아바로… 고마워…</t>
  </si>
  <si>
    <t>빨리 낫기나 해.</t>
  </si>
  <si>
    <t>그렇게 몇 번의 낮과 밤이 지나갔다.</t>
  </si>
  <si>
    <t>몸은 좀 어때?</t>
  </si>
  <si>
    <t>많이 좋아졌어.</t>
  </si>
  <si>
    <r>
      <rPr>
        <sz val="11"/>
        <color rgb="FF000000"/>
        <rFont val="돋움"/>
        <family val="3"/>
        <charset val="129"/>
      </rPr>
      <t>덕분이야</t>
    </r>
    <r>
      <rPr>
        <sz val="11"/>
        <color rgb="FF000000"/>
        <rFont val="Arial"/>
        <family val="2"/>
      </rPr>
      <t>.</t>
    </r>
    <phoneticPr fontId="1" type="noConversion"/>
  </si>
  <si>
    <t>에이, 내가 뭘 했다고.</t>
  </si>
  <si>
    <r>
      <t> </t>
    </r>
    <r>
      <rPr>
        <sz val="11"/>
        <color rgb="FF000000"/>
        <rFont val="돋움"/>
        <family val="3"/>
        <charset val="129"/>
      </rPr>
      <t>내가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하고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싶어서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일인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걸</t>
    </r>
    <r>
      <rPr>
        <sz val="11"/>
        <color rgb="FF000000"/>
        <rFont val="Arial"/>
        <family val="2"/>
      </rPr>
      <t>.</t>
    </r>
    <phoneticPr fontId="1" type="noConversion"/>
  </si>
  <si>
    <t>좋아졌다니 다행이야.</t>
  </si>
  <si>
    <r>
      <rPr>
        <sz val="11"/>
        <color rgb="FF000000"/>
        <rFont val="돋움"/>
        <family val="3"/>
        <charset val="129"/>
      </rPr>
      <t>그럼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먹을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찾으러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갔다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올게</t>
    </r>
    <r>
      <rPr>
        <sz val="11"/>
        <color rgb="FF000000"/>
        <rFont val="Arial"/>
        <family val="2"/>
      </rPr>
      <t>!</t>
    </r>
    <phoneticPr fontId="1" type="noConversion"/>
  </si>
  <si>
    <t>나는 아바로의 집에 오고 나서 처음으로 밖에 나와 보았다.</t>
  </si>
  <si>
    <t>아바로의 간호 덕분에 몸 상태가 완전히 회복된 게 느껴졌다.</t>
  </si>
  <si>
    <t>몸도 다 나았는데 계속 신세를 질 수는 없는 거겠지...</t>
  </si>
  <si>
    <t>떠나기 전에 보답을 하고 싶은데 좋은 게 없을까?</t>
  </si>
  <si>
    <t>Player</t>
    <phoneticPr fontId="1" type="noConversion"/>
  </si>
  <si>
    <t>Abaro</t>
    <phoneticPr fontId="1" type="noConversion"/>
  </si>
  <si>
    <t>Worry</t>
    <phoneticPr fontId="1" type="noConversion"/>
  </si>
  <si>
    <t>Smile</t>
  </si>
  <si>
    <t>Smile</t>
    <phoneticPr fontId="1" type="noConversion"/>
  </si>
  <si>
    <t>Worry</t>
    <phoneticPr fontId="1" type="noConversion"/>
  </si>
  <si>
    <t>Idle</t>
    <phoneticPr fontId="1" type="noConversion"/>
  </si>
  <si>
    <r>
      <rPr>
        <sz val="11"/>
        <color rgb="FF000000"/>
        <rFont val="돋움"/>
        <family val="3"/>
        <charset val="129"/>
      </rPr>
      <t>그래</t>
    </r>
    <r>
      <rPr>
        <sz val="11"/>
        <color rgb="FF000000"/>
        <rFont val="Arial"/>
        <family val="2"/>
      </rPr>
      <t xml:space="preserve">? </t>
    </r>
    <r>
      <rPr>
        <sz val="11"/>
        <color rgb="FF000000"/>
        <rFont val="돋움"/>
        <family val="3"/>
        <charset val="129"/>
      </rPr>
      <t>다행이다</t>
    </r>
    <r>
      <rPr>
        <sz val="11"/>
        <color rgb="FF000000"/>
        <rFont val="Arial"/>
        <family val="2"/>
      </rPr>
      <t>.</t>
    </r>
    <phoneticPr fontId="1" type="noConversion"/>
  </si>
  <si>
    <t>Smile</t>
    <phoneticPr fontId="1" type="noConversion"/>
  </si>
  <si>
    <r>
      <rPr>
        <sz val="11"/>
        <color rgb="FF000000"/>
        <rFont val="돋움"/>
        <family val="3"/>
        <charset val="129"/>
      </rPr>
      <t>고맙긴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뭘</t>
    </r>
    <r>
      <rPr>
        <sz val="11"/>
        <color rgb="FF000000"/>
        <rFont val="Arial"/>
        <family val="2"/>
      </rPr>
      <t>.</t>
    </r>
    <phoneticPr fontId="1" type="noConversion"/>
  </si>
  <si>
    <r>
      <rPr>
        <sz val="11"/>
        <color rgb="FF000000"/>
        <rFont val="돋움"/>
        <family val="3"/>
        <charset val="129"/>
      </rPr>
      <t>집에서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살게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해준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것만도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고마운데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음식도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구해다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주고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약초도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찾아다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줬잖아</t>
    </r>
    <r>
      <rPr>
        <sz val="11"/>
        <color rgb="FF000000"/>
        <rFont val="Arial"/>
        <family val="2"/>
      </rPr>
      <t>.</t>
    </r>
    <phoneticPr fontId="1" type="noConversion"/>
  </si>
  <si>
    <t>-</t>
    <phoneticPr fontId="1" type="noConversion"/>
  </si>
  <si>
    <t>Idle</t>
    <phoneticPr fontId="1" type="noConversion"/>
  </si>
  <si>
    <t xml:space="preserve">앗, 저런 곳에 도토리가 있네.
</t>
    <phoneticPr fontId="1" type="noConversion"/>
  </si>
  <si>
    <t>아바로가 도토리를 좋아하던데…</t>
  </si>
  <si>
    <t>그래! 도토리를 선물해주자!</t>
  </si>
  <si>
    <t>중앙</t>
    <phoneticPr fontId="1" type="noConversion"/>
  </si>
  <si>
    <t xml:space="preserve">밖에 나와 있었네? 이제 몸은 좀 괜찮아?
</t>
    <phoneticPr fontId="1" type="noConversion"/>
  </si>
  <si>
    <t>응! 덕분에.</t>
  </si>
  <si>
    <t>곧 해가 져서 추워질 거야. 이만 들어가자.</t>
  </si>
  <si>
    <t>저기... 이거.</t>
  </si>
  <si>
    <t>이거 나한테 주는 거야?</t>
  </si>
  <si>
    <t>고마움의 선물이야.</t>
  </si>
  <si>
    <t>우리 동네에선 도토리를 주면 짝이 되어달라는 의미인데?</t>
  </si>
  <si>
    <t>뭐?</t>
  </si>
  <si>
    <t>농담이야.</t>
  </si>
  <si>
    <t>뭐야, 놀랐잖아.</t>
  </si>
  <si>
    <t>하지만... 짝이 되어달라는 말은 농담이 아니야.</t>
  </si>
  <si>
    <t>뭐...?</t>
  </si>
  <si>
    <t>너와 함께 지내는 동안 정말 즐거웠고, 네가 없으면 너무 외로울 것 같아.</t>
  </si>
  <si>
    <t>앞으로도 쭉 너와 함께 지내고 싶어…</t>
  </si>
  <si>
    <t>내 짝이 되어주지 않을래?</t>
  </si>
  <si>
    <t>...좋아!</t>
  </si>
  <si>
    <t>나는 아바로의 손을 잡았다.</t>
  </si>
  <si>
    <t>아바로와 함께 살게 되고 네 번의 계절이 지나갔다.</t>
  </si>
  <si>
    <r>
      <rPr>
        <sz val="11"/>
        <color rgb="FF000000"/>
        <rFont val="돋움"/>
        <family val="3"/>
        <charset val="129"/>
      </rPr>
      <t>엄마</t>
    </r>
    <r>
      <rPr>
        <sz val="11"/>
        <color rgb="FF000000"/>
        <rFont val="Arial"/>
        <family val="2"/>
      </rPr>
      <t xml:space="preserve">, </t>
    </r>
    <r>
      <rPr>
        <sz val="11"/>
        <color rgb="FF000000"/>
        <rFont val="돋움"/>
        <family val="3"/>
        <charset val="129"/>
      </rPr>
      <t>이거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봐요</t>
    </r>
    <r>
      <rPr>
        <sz val="11"/>
        <color rgb="FF000000"/>
        <rFont val="Arial"/>
        <family val="2"/>
      </rPr>
      <t>!</t>
    </r>
    <phoneticPr fontId="1" type="noConversion"/>
  </si>
  <si>
    <t>커다란 도토리!</t>
  </si>
  <si>
    <t>그 동안 가족도 늘어 우리는 네 마리가 되었다.</t>
  </si>
  <si>
    <t>Player1</t>
  </si>
  <si>
    <t>Player1</t>
    <phoneticPr fontId="1" type="noConversion"/>
  </si>
  <si>
    <t>Player1</t>
    <phoneticPr fontId="1" type="noConversion"/>
  </si>
  <si>
    <t>PlayerR</t>
    <phoneticPr fontId="1" type="noConversion"/>
  </si>
  <si>
    <t>PlayerM</t>
    <phoneticPr fontId="1" type="noConversion"/>
  </si>
  <si>
    <t>중앙</t>
    <phoneticPr fontId="1" type="noConversion"/>
  </si>
  <si>
    <t>좌</t>
    <phoneticPr fontId="1" type="noConversion"/>
  </si>
  <si>
    <t>우</t>
    <phoneticPr fontId="1" type="noConversion"/>
  </si>
  <si>
    <r>
      <rPr>
        <sz val="11"/>
        <color rgb="FF000000"/>
        <rFont val="돋움"/>
        <family val="3"/>
        <charset val="129"/>
      </rPr>
      <t>어</t>
    </r>
    <r>
      <rPr>
        <sz val="11"/>
        <color rgb="FF000000"/>
        <rFont val="Arial"/>
        <family val="2"/>
      </rPr>
      <t xml:space="preserve">, </t>
    </r>
    <r>
      <rPr>
        <sz val="11"/>
        <color rgb="FF000000"/>
        <rFont val="돋움"/>
        <family val="3"/>
        <charset val="129"/>
      </rPr>
      <t>근데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도토리가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이렇지</t>
    </r>
    <r>
      <rPr>
        <sz val="11"/>
        <color rgb="FF000000"/>
        <rFont val="Arial"/>
        <family val="2"/>
      </rPr>
      <t>.</t>
    </r>
    <phoneticPr fontId="1" type="noConversion"/>
  </si>
  <si>
    <t>쭈글쭈글하고, 이상한 냄새도 나고...</t>
  </si>
  <si>
    <t>못 먹겠네.</t>
  </si>
  <si>
    <t>Idle</t>
    <phoneticPr fontId="1" type="noConversion"/>
  </si>
  <si>
    <t>Worry</t>
    <phoneticPr fontId="1" type="noConversion"/>
  </si>
  <si>
    <r>
      <rPr>
        <sz val="11"/>
        <color rgb="FF000000"/>
        <rFont val="돋움"/>
        <family val="3"/>
        <charset val="129"/>
      </rPr>
      <t>요즘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숲이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이상하지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않아</t>
    </r>
    <r>
      <rPr>
        <sz val="11"/>
        <color rgb="FF000000"/>
        <rFont val="Arial"/>
        <family val="2"/>
      </rPr>
      <t>?</t>
    </r>
    <phoneticPr fontId="1" type="noConversion"/>
  </si>
  <si>
    <r>
      <rPr>
        <sz val="11"/>
        <color rgb="FF000000"/>
        <rFont val="돋움"/>
        <family val="3"/>
        <charset val="129"/>
      </rPr>
      <t>물에서는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이상한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냄새가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나고</t>
    </r>
    <r>
      <rPr>
        <sz val="11"/>
        <color rgb="FF000000"/>
        <rFont val="Arial"/>
        <family val="2"/>
      </rPr>
      <t>,</t>
    </r>
    <phoneticPr fontId="1" type="noConversion"/>
  </si>
  <si>
    <t>나무는 시커멓게 죽어가고,</t>
  </si>
  <si>
    <t>병에 걸린 동물들도 많이 보이고.</t>
  </si>
  <si>
    <r>
      <rPr>
        <sz val="11"/>
        <color rgb="FF000000"/>
        <rFont val="돋움"/>
        <family val="3"/>
        <charset val="129"/>
      </rPr>
      <t>먹을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걸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찾는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것도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점점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어려워지는데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이래서야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이번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겨울을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날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수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있을까</t>
    </r>
    <r>
      <rPr>
        <sz val="11"/>
        <color rgb="FF000000"/>
        <rFont val="Arial"/>
        <family val="2"/>
      </rPr>
      <t>...?</t>
    </r>
    <phoneticPr fontId="1" type="noConversion"/>
  </si>
  <si>
    <r>
      <rPr>
        <sz val="11"/>
        <color rgb="FF000000"/>
        <rFont val="맑은 고딕"/>
        <family val="2"/>
        <charset val="129"/>
      </rPr>
      <t>갑자기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맑은 고딕"/>
        <family val="2"/>
        <charset val="129"/>
      </rPr>
      <t>이렇게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맑은 고딕"/>
        <family val="2"/>
        <charset val="129"/>
      </rPr>
      <t>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맑은 고딕"/>
        <family val="2"/>
        <charset val="129"/>
      </rPr>
      <t>게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맑은 고딕"/>
        <family val="2"/>
        <charset val="129"/>
      </rPr>
      <t>뭔가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맑은 고딕"/>
        <family val="2"/>
        <charset val="129"/>
      </rPr>
      <t>이상해</t>
    </r>
    <r>
      <rPr>
        <sz val="11"/>
        <color rgb="FF000000"/>
        <rFont val="Arial"/>
        <family val="2"/>
      </rPr>
      <t>.</t>
    </r>
    <phoneticPr fontId="1" type="noConversion"/>
  </si>
  <si>
    <t>내가 한번 원인을 찾아볼게.</t>
  </si>
  <si>
    <t>그래, 조심해서 다녀와.</t>
  </si>
  <si>
    <t>나는 처음 이곳에 왔을 때와는 비교할 수도 없이 변해버린 숲을 조사하기 시작했다.</t>
  </si>
  <si>
    <t>덤불을 잘라내자 안쪽에 뭔가 지저분한 것들이 잔뜩 쌓여있는 것이 보였다.</t>
  </si>
  <si>
    <t>이것은...?</t>
  </si>
  <si>
    <t>두근.</t>
  </si>
  <si>
    <t>손으로 집어 들자 낯설면서도 익숙한 감촉에 몸이 떨렸다.</t>
  </si>
  <si>
    <t>이게 왜 여기에...</t>
  </si>
  <si>
    <t>좀 더 자세히 보려고 발을 내딛는 순간,</t>
  </si>
  <si>
    <t>철컥.</t>
  </si>
  <si>
    <t>서늘한 소리와 함께 끔찍한 통증이 온몸을 가로질렀다.</t>
  </si>
  <si>
    <t>정신을 차리고 보니 온 가족이 내 주변에 모여 앉아 울고 있었다.</t>
  </si>
  <si>
    <t>엄마가 죽어버렸어~!</t>
  </si>
  <si>
    <t>죽어버렸어~!</t>
  </si>
  <si>
    <r>
      <rPr>
        <sz val="11"/>
        <color rgb="FF000000"/>
        <rFont val="돋움"/>
        <family val="3"/>
        <charset val="129"/>
      </rPr>
      <t>나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아직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안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죽었어</t>
    </r>
    <r>
      <rPr>
        <sz val="11"/>
        <color rgb="FF000000"/>
        <rFont val="Arial"/>
        <family val="2"/>
      </rPr>
      <t>…</t>
    </r>
    <phoneticPr fontId="1" type="noConversion"/>
  </si>
  <si>
    <t>헉 엄마!</t>
  </si>
  <si>
    <t>엄마!</t>
  </si>
  <si>
    <t>아기쥐들이 눈에 눈물을 그렁그렁 매달고 나를 쳐다보고 있었다.</t>
  </si>
  <si>
    <t>덫에 걸렸던 건가…</t>
  </si>
  <si>
    <t>온몸이 부서질 듯 아프고 눈앞이 가물가물했다.</t>
  </si>
  <si>
    <t>생명이 얼마 남지 않은 지금 아이들에게 꼭 해야 하는 말이 있었다.</t>
  </si>
  <si>
    <t>저쪽의 서랍을 열어보면 이상한 물건이 있을 거다...</t>
  </si>
  <si>
    <t>이건...</t>
  </si>
  <si>
    <t>엄마가 숲에서 가져 온 것과 똑같이 생겼네요...?!</t>
  </si>
  <si>
    <r>
      <rPr>
        <sz val="11"/>
        <color rgb="FF000000"/>
        <rFont val="돋움"/>
        <family val="3"/>
        <charset val="129"/>
      </rPr>
      <t>내가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처음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이곳에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오게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되었을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때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달고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있던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거야</t>
    </r>
    <r>
      <rPr>
        <sz val="11"/>
        <color rgb="FF000000"/>
        <rFont val="Arial"/>
        <family val="2"/>
      </rPr>
      <t>.</t>
    </r>
    <phoneticPr fontId="1" type="noConversion"/>
  </si>
  <si>
    <t>나는 그걸 달고 평생 갇혀 살 운명이었어.</t>
  </si>
  <si>
    <t>괴물들이 매일 나와 친구들을 무자비하게 괴롭혔지.</t>
  </si>
  <si>
    <t>그리고 그곳에서의 일은 까맣게 잊고 살고 있었어.</t>
  </si>
  <si>
    <t>그런데 어떻게 된 일인지 모르겠지만…</t>
  </si>
  <si>
    <t>그 물건이 다시 내 눈 앞에 나타났구나.</t>
  </si>
  <si>
    <t>어쩌면 숲이 병들어 가는 게 그 괴물들과 관련된 일일지도 몰라.</t>
  </si>
  <si>
    <r>
      <rPr>
        <sz val="11"/>
        <color rgb="FF000000"/>
        <rFont val="돋움"/>
        <family val="3"/>
        <charset val="129"/>
      </rPr>
      <t>하지만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나는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가까스로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탈출해서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자유를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얻었다</t>
    </r>
    <r>
      <rPr>
        <sz val="11"/>
        <color rgb="FF000000"/>
        <rFont val="Arial"/>
        <family val="2"/>
      </rPr>
      <t>.</t>
    </r>
    <phoneticPr fontId="1" type="noConversion"/>
  </si>
  <si>
    <t>나는 이렇게 먼저 떠나지만...</t>
  </si>
  <si>
    <t>너희들이 나를 이어서...</t>
  </si>
  <si>
    <t>어떻게 된 일인지 알아내주지 않겠니?</t>
  </si>
  <si>
    <t>부탁이다...</t>
  </si>
  <si>
    <t> 엄마!!</t>
  </si>
  <si>
    <t>그것이 내가 듣는 마지막 소리였다.</t>
  </si>
  <si>
    <t>Cry</t>
    <phoneticPr fontId="1" type="noConversion"/>
  </si>
  <si>
    <t>Surprise</t>
    <phoneticPr fontId="1" type="noConversion"/>
  </si>
  <si>
    <t>(스테이지3)</t>
    <phoneticPr fontId="1" type="noConversion"/>
  </si>
  <si>
    <t>나는 가족들의 배웅과 엄마의 무덤을 뒤로 하고 길을 나섰다.</t>
  </si>
  <si>
    <t>엄마가 찾은 길을 따라 가니 갈수록 낯선 풍경이 펼쳐졌다.</t>
  </si>
  <si>
    <t>나는 호기심에 가득 차 이곳 저곳을 두리번거리며 걸었다.</t>
  </si>
  <si>
    <t>그 때, 소름 끼치는 소리가 들려왔다.</t>
  </si>
  <si>
    <t>고양이  이야옹~!</t>
  </si>
  <si>
    <t>소리가 들린 곳을 바라보니 어떤 쥐가 고양이에게 쫓기고 있었다.</t>
  </si>
  <si>
    <t>나는 얼른 나무 뒤에 숨어 그 모습을 바라보았다.</t>
  </si>
  <si>
    <t>그 쥐는 다행히 높은 곳으로 올라가 숨었지만</t>
  </si>
  <si>
    <t>두리번거리는 고양이에게 들킬까봐 내려가지도 못하고 있었다.</t>
  </si>
  <si>
    <t>어떡하지? 구해줄 방법이 없을까?</t>
  </si>
  <si>
    <t>내 이름은 캄파라야.</t>
  </si>
  <si>
    <r>
      <rPr>
        <sz val="11"/>
        <color rgb="FF000000"/>
        <rFont val="돋움"/>
        <family val="3"/>
        <charset val="129"/>
      </rPr>
      <t>구해줘서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정말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고마워</t>
    </r>
    <r>
      <rPr>
        <sz val="11"/>
        <color rgb="FF000000"/>
        <rFont val="Arial"/>
        <family val="2"/>
      </rPr>
      <t>!</t>
    </r>
    <phoneticPr fontId="1" type="noConversion"/>
  </si>
  <si>
    <t>우리 마을로 가자.</t>
  </si>
  <si>
    <t>보답을 하고 싶어!</t>
  </si>
  <si>
    <t>여기도 쥐들이 사는 마을이 있어?</t>
  </si>
  <si>
    <t>나를 따라와.</t>
  </si>
  <si>
    <t>여기가 우리 마을이야!</t>
  </si>
  <si>
    <t>마을의 쥐들은 나를 모두 반갑게 맞아주었다.</t>
  </si>
  <si>
    <t>나는 따뜻한 분위기와 맛있는 음식 덕분에 즐겁게 시간을 보낼 수 있었다.</t>
  </si>
  <si>
    <t>다른 곳에서 온 손님이 둘이나 되다니 조용한 마을이 아주 축제 같은 분위기가 됐네!</t>
  </si>
  <si>
    <t>다른 곳에서 온 쥐가 또 있어?</t>
  </si>
  <si>
    <t>너도 이곳 쥐가 아닌 모양이구나?</t>
  </si>
  <si>
    <t>반가워. 나는 우르보야.</t>
  </si>
  <si>
    <t>반가워. 너는 어디서 왔니?</t>
  </si>
  <si>
    <t>나는 숲에서 왔어.</t>
  </si>
  <si>
    <t>나는 도시에서 왔어.</t>
  </si>
  <si>
    <t>숲에서 왔다면 도시는 한 번도 본 적 없겠구나?</t>
  </si>
  <si>
    <t>응. 거긴 어떤 곳이야?</t>
  </si>
  <si>
    <t>커다란 빌딩도 많고 여기선 볼 수 없는 희한한 것들도 많아.</t>
  </si>
  <si>
    <t>     빌...딩이 뭐야?</t>
  </si>
  <si>
    <t>그것도 몰라?</t>
  </si>
  <si>
    <t>모, 모를 수도 있지!</t>
  </si>
  <si>
    <t>나도 모르는 걸.</t>
  </si>
  <si>
    <t>사는 곳이 다르면 아는 것도 다를 수도 있지.</t>
  </si>
  <si>
    <t>Smile</t>
    <phoneticPr fontId="1" type="noConversion"/>
  </si>
  <si>
    <t>Kampara</t>
    <phoneticPr fontId="1" type="noConversion"/>
  </si>
  <si>
    <t>Player2</t>
  </si>
  <si>
    <t>Player2</t>
    <phoneticPr fontId="1" type="noConversion"/>
  </si>
  <si>
    <t>(라고의경우)</t>
    <phoneticPr fontId="1" type="noConversion"/>
  </si>
  <si>
    <t>Player2</t>
    <phoneticPr fontId="1" type="noConversion"/>
  </si>
  <si>
    <t>PlayerR</t>
    <phoneticPr fontId="1" type="noConversion"/>
  </si>
  <si>
    <t>맞아. 너는 떡갈나무 도토리랑 상수리나무 도토리 중에 어떤 게 더 맛있는지도 모르지?</t>
  </si>
  <si>
    <t> 흐, 흥. 그런 거 몰라도 잘만 살 수 있거든!</t>
  </si>
  <si>
    <t>그렇게 말하며 우르보는 식탁에 놓인 버섯을 집어 들었다.</t>
  </si>
  <si>
    <t>잠깐만!</t>
  </si>
  <si>
    <t>나는 다급하게 우르보의 손을 잡았다.</t>
  </si>
  <si>
    <r>
      <t> </t>
    </r>
    <r>
      <rPr>
        <sz val="11"/>
        <color rgb="FF000000"/>
        <rFont val="돋움"/>
        <family val="3"/>
        <charset val="129"/>
      </rPr>
      <t>뭐</t>
    </r>
    <r>
      <rPr>
        <sz val="11"/>
        <color rgb="FF000000"/>
        <rFont val="Arial"/>
        <family val="2"/>
      </rPr>
      <t xml:space="preserve">, </t>
    </r>
    <r>
      <rPr>
        <sz val="11"/>
        <color rgb="FF000000"/>
        <rFont val="돋움"/>
        <family val="3"/>
        <charset val="129"/>
      </rPr>
      <t>뭐야</t>
    </r>
    <r>
      <rPr>
        <sz val="11"/>
        <color rgb="FF000000"/>
        <rFont val="Arial"/>
        <family val="2"/>
      </rPr>
      <t>?</t>
    </r>
    <phoneticPr fontId="1" type="noConversion"/>
  </si>
  <si>
    <t>이거 다른 버섯이랑 비슷하게 생겼지만 독버섯이야.</t>
  </si>
  <si>
    <t>이걸 먹으면 삼일 밤낮을 배가 아파서 떼굴떼굴 구르게 될 거야!</t>
  </si>
  <si>
    <t>앗, 진짜네. 잘못해서 섞여 들어갔나봐.</t>
  </si>
  <si>
    <t> 그, 그런걸 음식에 넣으면 어떡하냐!</t>
  </si>
  <si>
    <t>우르보는 씩씩대더니 자리를 박차고 일어나 가버렸다.</t>
  </si>
  <si>
    <r>
      <rPr>
        <sz val="11"/>
        <color rgb="FF000000"/>
        <rFont val="돋움"/>
        <family val="3"/>
        <charset val="129"/>
      </rPr>
      <t>불쾌해서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이상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못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먹겠어</t>
    </r>
    <r>
      <rPr>
        <sz val="11"/>
        <color rgb="FF000000"/>
        <rFont val="Arial"/>
        <family val="2"/>
      </rPr>
      <t>.</t>
    </r>
    <phoneticPr fontId="1" type="noConversion"/>
  </si>
  <si>
    <r>
      <rPr>
        <sz val="11"/>
        <color rgb="FF000000"/>
        <rFont val="돋움"/>
        <family val="3"/>
        <charset val="129"/>
      </rPr>
      <t>어떡하지</t>
    </r>
    <r>
      <rPr>
        <sz val="11"/>
        <color rgb="FF000000"/>
        <rFont val="Arial"/>
        <family val="2"/>
      </rPr>
      <t xml:space="preserve">. </t>
    </r>
    <r>
      <rPr>
        <sz val="11"/>
        <color rgb="FF000000"/>
        <rFont val="돋움"/>
        <family val="3"/>
        <charset val="129"/>
      </rPr>
      <t>내가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실수하는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바람에</t>
    </r>
    <r>
      <rPr>
        <sz val="11"/>
        <color rgb="FF000000"/>
        <rFont val="Arial"/>
        <family val="2"/>
      </rPr>
      <t>…</t>
    </r>
    <phoneticPr fontId="1" type="noConversion"/>
  </si>
  <si>
    <r>
      <rPr>
        <sz val="11"/>
        <color rgb="FF000000"/>
        <rFont val="돋움"/>
        <family val="3"/>
        <charset val="129"/>
      </rPr>
      <t>저런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애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신경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쓸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필요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없어</t>
    </r>
    <r>
      <rPr>
        <sz val="11"/>
        <color rgb="FF000000"/>
        <rFont val="Arial"/>
        <family val="2"/>
      </rPr>
      <t>.</t>
    </r>
    <phoneticPr fontId="1" type="noConversion"/>
  </si>
  <si>
    <t>고마워. 너는 정말 똑똑하고 상냥한 쥐구나.</t>
  </si>
  <si>
    <t>그러는 너야말로…</t>
  </si>
  <si>
    <t>이렇게 맛있는 음식이 가득한 곳에 초대해줘서 고마워.</t>
  </si>
  <si>
    <t> 맛있다니 다행이야.</t>
  </si>
  <si>
    <t>내가 준비한 음식들이라 입에 안 맞으면 어쩌나 걱정했어.</t>
  </si>
  <si>
    <t>정말? 네가 만든 거야?</t>
  </si>
  <si>
    <t>대단하다!</t>
  </si>
  <si>
    <r>
      <t xml:space="preserve"> </t>
    </r>
    <r>
      <rPr>
        <sz val="11"/>
        <color rgb="FF000000"/>
        <rFont val="돋움"/>
        <family val="3"/>
        <charset val="129"/>
      </rPr>
      <t>만드는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방법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알려주라</t>
    </r>
    <r>
      <rPr>
        <sz val="11"/>
        <color rgb="FF000000"/>
        <rFont val="Arial"/>
        <family val="2"/>
      </rPr>
      <t>.</t>
    </r>
    <phoneticPr fontId="1" type="noConversion"/>
  </si>
  <si>
    <t>당연하지! 어떤 것이든 물어봐.</t>
  </si>
  <si>
    <t>캄파라와 함께 이런 저런 이야기를 나누며 밤이 늦도록 축제를 즐겼다.</t>
  </si>
  <si>
    <t>Urbo</t>
    <phoneticPr fontId="1" type="noConversion"/>
  </si>
  <si>
    <t>우</t>
    <phoneticPr fontId="1" type="noConversion"/>
  </si>
  <si>
    <t>Angry</t>
    <phoneticPr fontId="1" type="noConversion"/>
  </si>
  <si>
    <t>Surprise</t>
    <phoneticPr fontId="1" type="noConversion"/>
  </si>
  <si>
    <t>Angry</t>
    <phoneticPr fontId="1" type="noConversion"/>
  </si>
  <si>
    <t>Worry</t>
    <phoneticPr fontId="1" type="noConversion"/>
  </si>
  <si>
    <t>맞아. 너는 달팽이 사냥하는 법도 모르고 메뚜기는 어디가 맛있는지도 모르지?</t>
  </si>
  <si>
    <t>흐, 흥. 그런 거 몰라도 잘만 살 수 있거든!</t>
  </si>
  <si>
    <t>그 순간, 우르보의 뒤에 검은 그림자가 드리워졌다.</t>
  </si>
  <si>
    <t>조심해!</t>
  </si>
  <si>
    <t>나는 다급하게 우르보를 끌어당겼다.</t>
  </si>
  <si>
    <t>거대한 말벌이 독침을 위협적으로 휘두르고 있었다!</t>
  </si>
  <si>
    <r>
      <rPr>
        <sz val="11"/>
        <color rgb="FF000000"/>
        <rFont val="돋움"/>
        <family val="3"/>
        <charset val="129"/>
      </rPr>
      <t>으아악</t>
    </r>
    <r>
      <rPr>
        <sz val="11"/>
        <color rgb="FF000000"/>
        <rFont val="Arial"/>
        <family val="2"/>
      </rPr>
      <t>!</t>
    </r>
    <phoneticPr fontId="1" type="noConversion"/>
  </si>
  <si>
    <t>나는 얼른 나뭇가지를 집어 들고 말벌과 맞서 싸웠다.</t>
  </si>
  <si>
    <t>이리저리 독침을 피해 나뭇가지를 휘두르는데 순간 발이 미끄러졌다.</t>
  </si>
  <si>
    <t>앗…!</t>
  </si>
  <si>
    <t>위험해!</t>
  </si>
  <si>
    <t>캄파라가 얼른 돌을 집어 던진 덕분에 간신히 독침에 찔리는 것을 피할 수 있었다.</t>
  </si>
  <si>
    <t>나는 그 사이에 말벌의 날개에 나뭇가지를 찔러 넣었다.</t>
  </si>
  <si>
    <t>날개가 찢긴 말벌은 다급히 도망쳤다.</t>
  </si>
  <si>
    <t>휴…</t>
  </si>
  <si>
    <r>
      <rPr>
        <sz val="11"/>
        <color rgb="FF000000"/>
        <rFont val="돋움"/>
        <family val="3"/>
        <charset val="129"/>
      </rPr>
      <t>진짜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멋졌어</t>
    </r>
    <r>
      <rPr>
        <sz val="11"/>
        <color rgb="FF000000"/>
        <rFont val="Arial"/>
        <family val="2"/>
      </rPr>
      <t>!</t>
    </r>
    <phoneticPr fontId="1" type="noConversion"/>
  </si>
  <si>
    <t>멋지긴 무슨. 이런 위험한 곳에서 밥을 어떻게 먹냐!</t>
  </si>
  <si>
    <r>
      <rPr>
        <sz val="11"/>
        <color rgb="FF000000"/>
        <rFont val="돋움"/>
        <family val="3"/>
        <charset val="129"/>
      </rPr>
      <t>불안해서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이상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못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먹겠어</t>
    </r>
    <r>
      <rPr>
        <sz val="11"/>
        <color rgb="FF000000"/>
        <rFont val="Arial"/>
        <family val="2"/>
      </rPr>
      <t>.</t>
    </r>
    <phoneticPr fontId="1" type="noConversion"/>
  </si>
  <si>
    <t>쟤는 구해줘도 난리야.</t>
  </si>
  <si>
    <t>고마워. 너는 정말 용감한 쥐구나.</t>
  </si>
  <si>
    <t>네가 돌을 던져주지 않았으면 큰일 났을지도 몰라.</t>
  </si>
  <si>
    <t>너야말로 진짜 용감한 쥐야.</t>
  </si>
  <si>
    <t>정말?</t>
  </si>
  <si>
    <t>그런 말은 처음 들어봐.</t>
  </si>
  <si>
    <t>기뻐하는 캄파라와 함께 이야기를 나누며 밤이 늦도록 축제를 즐겼다.</t>
  </si>
  <si>
    <t>이봐.</t>
  </si>
  <si>
    <t>축제가 끝나고 캄파라가 마련해준 숙소로 가려는데 우르보가 나를 불러 세웠다.</t>
  </si>
  <si>
    <t>뭐야?</t>
  </si>
  <si>
    <t>우르보가 내 손에 쥐어준 것은 반짝반짝 빛나는 돌멩이였다.</t>
  </si>
  <si>
    <r>
      <rPr>
        <sz val="11"/>
        <color rgb="FF000000"/>
        <rFont val="돋움"/>
        <family val="3"/>
        <charset val="129"/>
      </rPr>
      <t>그</t>
    </r>
    <r>
      <rPr>
        <sz val="11"/>
        <color rgb="FF000000"/>
        <rFont val="Arial"/>
        <family val="2"/>
      </rPr>
      <t xml:space="preserve">… </t>
    </r>
    <r>
      <rPr>
        <sz val="11"/>
        <color rgb="FF000000"/>
        <rFont val="돋움"/>
        <family val="3"/>
        <charset val="129"/>
      </rPr>
      <t>이거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받아</t>
    </r>
    <r>
      <rPr>
        <sz val="11"/>
        <color rgb="FF000000"/>
        <rFont val="Arial"/>
        <family val="2"/>
      </rPr>
      <t>.</t>
    </r>
    <phoneticPr fontId="1" type="noConversion"/>
  </si>
  <si>
    <t>도시에서 가져온 건데…</t>
  </si>
  <si>
    <t>넌 이런 거 본 적 없지?</t>
  </si>
  <si>
    <r>
      <rPr>
        <sz val="11"/>
        <color rgb="FF000000"/>
        <rFont val="돋움"/>
        <family val="3"/>
        <charset val="129"/>
      </rPr>
      <t>또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잘난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척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하려는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거야</t>
    </r>
    <r>
      <rPr>
        <sz val="11"/>
        <color rgb="FF000000"/>
        <rFont val="Arial"/>
        <family val="2"/>
      </rPr>
      <t xml:space="preserve">? </t>
    </r>
    <r>
      <rPr>
        <sz val="11"/>
        <color rgb="FF000000"/>
        <rFont val="돋움"/>
        <family val="3"/>
        <charset val="129"/>
      </rPr>
      <t>갈래</t>
    </r>
    <r>
      <rPr>
        <sz val="11"/>
        <color rgb="FF000000"/>
        <rFont val="Arial"/>
        <family val="2"/>
      </rPr>
      <t>.</t>
    </r>
    <phoneticPr fontId="1" type="noConversion"/>
  </si>
  <si>
    <t>아, 아니! 너 주려는 거야!</t>
  </si>
  <si>
    <t>이걸 왜?</t>
  </si>
  <si>
    <t>그... 아까 구해줘서 고맙다고…</t>
  </si>
  <si>
    <t>몰라! 버리든지 말든지!</t>
  </si>
  <si>
    <t>우르보는 그렇게 외치고 후다닥 도망쳐버렸다.</t>
  </si>
  <si>
    <t>뭐야…</t>
  </si>
  <si>
    <t>황망히 손 안의 돌멩이를 바라보고 있는데 뒤에서 누군가 나를 불렀다.</t>
  </si>
  <si>
    <t>깜짝이야.</t>
  </si>
  <si>
    <r>
      <rPr>
        <sz val="11"/>
        <color rgb="FF000000"/>
        <rFont val="돋움"/>
        <family val="3"/>
        <charset val="129"/>
      </rPr>
      <t>미안</t>
    </r>
    <r>
      <rPr>
        <sz val="11"/>
        <color rgb="FF000000"/>
        <rFont val="Arial"/>
        <family val="2"/>
      </rPr>
      <t xml:space="preserve">. </t>
    </r>
    <r>
      <rPr>
        <sz val="11"/>
        <color rgb="FF000000"/>
        <rFont val="돋움"/>
        <family val="3"/>
        <charset val="129"/>
      </rPr>
      <t>놀랐어</t>
    </r>
    <r>
      <rPr>
        <sz val="11"/>
        <color rgb="FF000000"/>
        <rFont val="Arial"/>
        <family val="2"/>
      </rPr>
      <t>?</t>
    </r>
    <phoneticPr fontId="1" type="noConversion"/>
  </si>
  <si>
    <t>캄파라였구나.</t>
  </si>
  <si>
    <t>무슨 일이야?</t>
  </si>
  <si>
    <t>그거라니 뭐?</t>
  </si>
  <si>
    <r>
      <rPr>
        <sz val="11"/>
        <color rgb="FF000000"/>
        <rFont val="돋움"/>
        <family val="3"/>
        <charset val="129"/>
      </rPr>
      <t>그거</t>
    </r>
    <r>
      <rPr>
        <sz val="11"/>
        <color rgb="FF000000"/>
        <rFont val="Arial"/>
        <family val="2"/>
      </rPr>
      <t xml:space="preserve">… </t>
    </r>
    <r>
      <rPr>
        <sz val="11"/>
        <color rgb="FF000000"/>
        <rFont val="돋움"/>
        <family val="3"/>
        <charset val="129"/>
      </rPr>
      <t>어떻게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할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거야</t>
    </r>
    <r>
      <rPr>
        <sz val="11"/>
        <color rgb="FF000000"/>
        <rFont val="Arial"/>
        <family val="2"/>
      </rPr>
      <t>?</t>
    </r>
    <phoneticPr fontId="1" type="noConversion"/>
  </si>
  <si>
    <t>아, 우르보가 준 거?</t>
  </si>
  <si>
    <t>어떻게 라니 딱히 생각 안 해봤는데.</t>
  </si>
  <si>
    <t>필요해?</t>
  </si>
  <si>
    <t>딱히 필요하지는…</t>
  </si>
  <si>
    <t>그럼 나 줘.</t>
  </si>
  <si>
    <t>엥?</t>
  </si>
  <si>
    <t>딱히 필요하지는 않다며.</t>
  </si>
  <si>
    <t>PlayerM</t>
    <phoneticPr fontId="1" type="noConversion"/>
  </si>
  <si>
    <r>
      <rPr>
        <sz val="11"/>
        <color rgb="FF000000"/>
        <rFont val="돋움"/>
        <family val="3"/>
        <charset val="129"/>
      </rPr>
      <t>그래</t>
    </r>
    <r>
      <rPr>
        <sz val="11"/>
        <color rgb="FF000000"/>
        <rFont val="Arial"/>
        <family val="2"/>
      </rPr>
      <t xml:space="preserve">. </t>
    </r>
    <r>
      <rPr>
        <sz val="11"/>
        <color rgb="FF000000"/>
        <rFont val="돋움"/>
        <family val="3"/>
        <charset val="129"/>
      </rPr>
      <t>그럼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너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가져</t>
    </r>
    <r>
      <rPr>
        <sz val="11"/>
        <color rgb="FF000000"/>
        <rFont val="Arial"/>
        <family val="2"/>
      </rPr>
      <t>.</t>
    </r>
    <phoneticPr fontId="1" type="noConversion"/>
  </si>
  <si>
    <r>
      <rPr>
        <sz val="11"/>
        <color rgb="FF000000"/>
        <rFont val="돋움"/>
        <family val="3"/>
        <charset val="129"/>
      </rPr>
      <t>고마워</t>
    </r>
    <r>
      <rPr>
        <sz val="11"/>
        <color rgb="FF000000"/>
        <rFont val="Arial"/>
        <family val="2"/>
      </rPr>
      <t>.</t>
    </r>
    <phoneticPr fontId="1" type="noConversion"/>
  </si>
  <si>
    <t>캄파라는 웃으며 돌멩이를 받아 들더니,</t>
  </si>
  <si>
    <t>멀리 집어 던져버렸다.</t>
  </si>
  <si>
    <t>???</t>
  </si>
  <si>
    <t>하지만… 나 어쩐지, 네가 저걸 갖는 게 싫었어.</t>
  </si>
  <si>
    <r>
      <rPr>
        <sz val="11"/>
        <color rgb="FF000000"/>
        <rFont val="돋움"/>
        <family val="3"/>
        <charset val="129"/>
      </rPr>
      <t>놀랐다면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돋움"/>
        <family val="3"/>
        <charset val="129"/>
      </rPr>
      <t>미안해</t>
    </r>
    <r>
      <rPr>
        <sz val="11"/>
        <color rgb="FF000000"/>
        <rFont val="Arial"/>
        <family val="2"/>
      </rPr>
      <t>.</t>
    </r>
    <phoneticPr fontId="1" type="noConversion"/>
  </si>
  <si>
    <t>…있지, 캄파라.</t>
  </si>
  <si>
    <t>나 너네 집에서 자도 될까?</t>
  </si>
  <si>
    <t>우리 집?</t>
  </si>
  <si>
    <t>그리고 우리 둘은 밤새도록 캄파라의 레시피북을 시험해봤다.</t>
  </si>
  <si>
    <r>
      <rPr>
        <sz val="11"/>
        <color rgb="FF000000"/>
        <rFont val="돋움"/>
        <family val="3"/>
        <charset val="129"/>
      </rPr>
      <t>당연하지</t>
    </r>
    <r>
      <rPr>
        <sz val="11"/>
        <color rgb="FF000000"/>
        <rFont val="Arial"/>
        <family val="2"/>
      </rPr>
      <t>!</t>
    </r>
    <phoneticPr fontId="1" type="noConversion"/>
  </si>
  <si>
    <t>(준다)</t>
    <phoneticPr fontId="1" type="noConversion"/>
  </si>
  <si>
    <t>(주지않는다)</t>
    <phoneticPr fontId="1" type="noConversion"/>
  </si>
  <si>
    <t>그건 좀…</t>
  </si>
  <si>
    <t>일단은 우르보가 나한테 선물해 준 거니까.</t>
  </si>
  <si>
    <t>그렇구나…</t>
  </si>
  <si>
    <t>이상한 부탁해서 미안했어.</t>
  </si>
  <si>
    <t>캄파라는 어깨를 축 늘어뜨리고 돌아섰다.</t>
  </si>
  <si>
    <t>나는 숙소에 들어가 침대에 누웠다.</t>
  </si>
  <si>
    <t>달빛이 비치는 곳에 돌멩이를 두니 예쁘게 반짝였다.</t>
  </si>
  <si>
    <t>그때 문을 두드리는 소리가 들렸다.</t>
  </si>
  <si>
    <t>누구세요?</t>
  </si>
  <si>
    <t>나는 문을 열었다.</t>
  </si>
  <si>
    <t>저기…</t>
  </si>
  <si>
    <t>나 오늘 여기서 자도 될까?</t>
  </si>
  <si>
    <t>혼자 자기 무서운 거야?</t>
  </si>
  <si>
    <t>그, 그런 거 아니거든!</t>
  </si>
  <si>
    <t>농담이야. 들어와.</t>
  </si>
  <si>
    <t>우르보는 좀 잘난척을 해서 그렇지 이야기해보니 생각보다 재미있는 친구였다.</t>
  </si>
  <si>
    <t>그렇게 우리 둘은 밤새도록 서로의 고향에 대해 이야기를 나눴다.</t>
  </si>
  <si>
    <r>
      <rPr>
        <sz val="11"/>
        <color rgb="FF000000"/>
        <rFont val="돋움"/>
        <family val="3"/>
        <charset val="129"/>
      </rPr>
      <t>나야</t>
    </r>
    <r>
      <rPr>
        <sz val="11"/>
        <color rgb="FF000000"/>
        <rFont val="Arial"/>
        <family val="2"/>
      </rPr>
      <t xml:space="preserve">, </t>
    </r>
    <r>
      <rPr>
        <sz val="11"/>
        <color rgb="FF000000"/>
        <rFont val="돋움"/>
        <family val="3"/>
        <charset val="129"/>
      </rPr>
      <t>우르보</t>
    </r>
    <r>
      <rPr>
        <sz val="11"/>
        <color rgb="FF000000"/>
        <rFont val="Arial"/>
        <family val="2"/>
      </rPr>
      <t>.</t>
    </r>
    <phoneticPr fontId="1" type="noConversion"/>
  </si>
  <si>
    <t>Shy</t>
    <phoneticPr fontId="1" type="noConversion"/>
  </si>
  <si>
    <t>Surprise</t>
    <phoneticPr fontId="1" type="noConversion"/>
  </si>
  <si>
    <t>Serious</t>
    <phoneticPr fontId="1" type="noConversion"/>
  </si>
  <si>
    <t>Smile</t>
    <phoneticPr fontId="1" type="noConversion"/>
  </si>
  <si>
    <t>Serious</t>
    <phoneticPr fontId="1" type="noConversion"/>
  </si>
  <si>
    <t>Shy</t>
    <phoneticPr fontId="1" type="noConversion"/>
  </si>
  <si>
    <t>Angry</t>
    <phoneticPr fontId="1" type="noConversion"/>
  </si>
  <si>
    <t>여기가 어디지...?</t>
    <phoneticPr fontId="1" type="noConversion"/>
  </si>
  <si>
    <t>그럼 우리 집에서 살면 어때?</t>
    <phoneticPr fontId="1" type="noConversion"/>
  </si>
  <si>
    <t>Name</t>
    <phoneticPr fontId="1" type="noConversion"/>
  </si>
  <si>
    <t>아바로</t>
    <phoneticPr fontId="1" type="noConversion"/>
  </si>
  <si>
    <t>Focus</t>
    <phoneticPr fontId="1" type="noConversion"/>
  </si>
  <si>
    <t>EventScript</t>
    <phoneticPr fontId="1" type="noConversion"/>
  </si>
  <si>
    <t>Content</t>
    <phoneticPr fontId="1" type="noConversion"/>
  </si>
  <si>
    <t>Type</t>
    <phoneticPr fontId="1" type="noConversion"/>
  </si>
  <si>
    <t>CharPos</t>
    <phoneticPr fontId="1" type="noConversion"/>
  </si>
  <si>
    <t>-</t>
    <phoneticPr fontId="1" type="noConversion"/>
  </si>
  <si>
    <t>PLAY_EAX_SOUND</t>
    <phoneticPr fontId="1" type="noConversion"/>
  </si>
  <si>
    <t>-</t>
    <phoneticPr fontId="1" type="noConversion"/>
  </si>
  <si>
    <t>-</t>
    <phoneticPr fontId="1" type="noConversion"/>
  </si>
  <si>
    <t>PLAY_BGM_SOUND</t>
    <phoneticPr fontId="1" type="noConversion"/>
  </si>
  <si>
    <t>STOP_EAX_SOUND&amp;STOP_BGM_SOUND</t>
    <phoneticPr fontId="1" type="noConversion"/>
  </si>
  <si>
    <t>-</t>
    <phoneticPr fontId="1" type="noConversion"/>
  </si>
  <si>
    <t>Stage1_FirstScene_Alone_EAX</t>
    <phoneticPr fontId="1" type="noConversion"/>
  </si>
  <si>
    <t>Stage1_FirstScene_MeetABR_BGM</t>
    <phoneticPr fontId="1" type="noConversion"/>
  </si>
  <si>
    <t>Stage1_FirstScene_Alone_EAX&amp;Stage1_FirstScene_MeetABR_BGM</t>
    <phoneticPr fontId="1" type="noConversion"/>
  </si>
  <si>
    <t>Stage1_SecondScene_Marry_BGM</t>
    <phoneticPr fontId="1" type="noConversion"/>
  </si>
  <si>
    <t>기억 안 나?</t>
    <phoneticPr fontId="1" type="noConversion"/>
  </si>
  <si>
    <t>그 순간 머리가 쪼개질 듯 아파오며 몇 가지 장면이 떠올랐다.</t>
    <phoneticPr fontId="1" type="noConversion"/>
  </si>
  <si>
    <t>하얗고 거대한 괴물들,</t>
    <phoneticPr fontId="1" type="noConversion"/>
  </si>
  <si>
    <t>겁에 질린 친구들,</t>
    <phoneticPr fontId="1" type="noConversion"/>
  </si>
  <si>
    <t>나... 도망쳐 나왔어.</t>
    <phoneticPr fontId="1" type="noConversion"/>
  </si>
  <si>
    <t>먹어봐.</t>
    <phoneticPr fontId="1" type="noConversion"/>
  </si>
  <si>
    <t>고맙긴 뭘.</t>
    <phoneticPr fontId="1" type="noConversion"/>
  </si>
  <si>
    <t>요즘 숲이 이상하지 않아?</t>
    <phoneticPr fontId="1" type="noConversion"/>
  </si>
  <si>
    <t>물에서는 이상한 냄새가 나고,</t>
    <phoneticPr fontId="1" type="noConversion"/>
  </si>
  <si>
    <t>갑자기 이렇게 된 게 뭔가 이상해.</t>
    <phoneticPr fontId="1" type="noConversion"/>
  </si>
  <si>
    <t>내가 처음 이곳에 오게 되었을 때 달고 있던 거야.</t>
    <phoneticPr fontId="1" type="noConversion"/>
  </si>
  <si>
    <t>빌...딩이 뭐야?</t>
    <phoneticPr fontId="1" type="noConversion"/>
  </si>
  <si>
    <t>으아악!</t>
    <phoneticPr fontId="1" type="noConversion"/>
  </si>
  <si>
    <t>진짜 멋졌어!</t>
    <phoneticPr fontId="1" type="noConversion"/>
  </si>
  <si>
    <t>또 잘난 척 하려는 거야? 갈래.</t>
    <phoneticPr fontId="1" type="noConversion"/>
  </si>
  <si>
    <t>그래. 그럼 너 가져.</t>
    <phoneticPr fontId="1" type="noConversion"/>
  </si>
  <si>
    <t>너 숲에 쓰러져 있었어.</t>
    <phoneticPr fontId="1" type="noConversion"/>
  </si>
  <si>
    <t>안 돼!! 안 돼!!</t>
    <phoneticPr fontId="1" type="noConversion"/>
  </si>
  <si>
    <t>도망쳐야 해.</t>
    <phoneticPr fontId="1" type="noConversion"/>
  </si>
  <si>
    <t>괜찮아! 여긴 안전해!</t>
    <phoneticPr fontId="1" type="noConversion"/>
  </si>
  <si>
    <t>으, 응... 고마워.</t>
    <phoneticPr fontId="1" type="noConversion"/>
  </si>
  <si>
    <t>어쩌다 여기까지 온 거야?</t>
    <phoneticPr fontId="1" type="noConversion"/>
  </si>
  <si>
    <t>그럼 집까지 데려다 줄게.</t>
    <phoneticPr fontId="1" type="noConversion"/>
  </si>
  <si>
    <t>집...?</t>
    <phoneticPr fontId="1" type="noConversion"/>
  </si>
  <si>
    <t>으으…</t>
    <phoneticPr fontId="1" type="noConversion"/>
  </si>
  <si>
    <t>깨어 있어?</t>
    <phoneticPr fontId="1" type="noConversion"/>
  </si>
  <si>
    <t>나 이거 진짜 좋아해.</t>
    <phoneticPr fontId="1" type="noConversion"/>
  </si>
  <si>
    <t>그래? 다행이다.</t>
    <phoneticPr fontId="1" type="noConversion"/>
  </si>
  <si>
    <t>너무 달콤하고 맛있다!</t>
    <phoneticPr fontId="1" type="noConversion"/>
  </si>
  <si>
    <t>덕분이야.</t>
    <phoneticPr fontId="1" type="noConversion"/>
  </si>
  <si>
    <t>집에서 살게 해준 것만도 고마운데 음식도 구해다 주고 약초도 찾아다 줬잖아.</t>
    <phoneticPr fontId="1" type="noConversion"/>
  </si>
  <si>
    <t>그럼 난 먹을 거 찾으러 갔다 올게!</t>
    <phoneticPr fontId="1" type="noConversion"/>
  </si>
  <si>
    <t>엄마, 이거 봐요!</t>
    <phoneticPr fontId="1" type="noConversion"/>
  </si>
  <si>
    <t>어, 근데 도토리가 왜 이렇지.</t>
    <phoneticPr fontId="1" type="noConversion"/>
  </si>
  <si>
    <t>먹을 걸 찾는 것도 점점 어려워지는데 이래서야 이번 겨울을 날 수 있을까...?</t>
    <phoneticPr fontId="1" type="noConversion"/>
  </si>
  <si>
    <t>나 아직 안 죽었어…</t>
    <phoneticPr fontId="1" type="noConversion"/>
  </si>
  <si>
    <t>하지만 나는 가까스로 탈출해서 자유를 얻었다.</t>
    <phoneticPr fontId="1" type="noConversion"/>
  </si>
  <si>
    <t>구해줘서 정말 고마워!</t>
    <phoneticPr fontId="1" type="noConversion"/>
  </si>
  <si>
    <t>불쾌해서 더 이상 못 먹겠어.</t>
    <phoneticPr fontId="1" type="noConversion"/>
  </si>
  <si>
    <t>어떡하지. 내가 실수하는 바람에…</t>
    <phoneticPr fontId="1" type="noConversion"/>
  </si>
  <si>
    <t>그… 이거 받아.</t>
    <phoneticPr fontId="1" type="noConversion"/>
  </si>
  <si>
    <t>미안. 놀랐어?</t>
    <phoneticPr fontId="1" type="noConversion"/>
  </si>
  <si>
    <t>고마워.</t>
    <phoneticPr fontId="1" type="noConversion"/>
  </si>
  <si>
    <t>우리 집이야.</t>
    <phoneticPr fontId="1" type="noConversion"/>
  </si>
  <si>
    <t>한참 안 와서 걱정했어.</t>
    <phoneticPr fontId="1" type="noConversion"/>
  </si>
  <si>
    <t>윽, 너무 써...</t>
    <phoneticPr fontId="1" type="noConversion"/>
  </si>
  <si>
    <t>이걸 좀 찾아오느라…</t>
    <phoneticPr fontId="1" type="noConversion"/>
  </si>
  <si>
    <t>네가 약을 너무 먹기 힘들어하길래 단 걸 먹여주고 싶어서…</t>
    <phoneticPr fontId="1" type="noConversion"/>
  </si>
  <si>
    <t>내가 하고 싶어서 한 일인 걸.</t>
    <phoneticPr fontId="1" type="noConversion"/>
  </si>
  <si>
    <t>밖에 나와 있었네?</t>
    <phoneticPr fontId="1" type="noConversion"/>
  </si>
  <si>
    <t>이제 몸은 좀 괜찮아?</t>
    <phoneticPr fontId="1" type="noConversion"/>
  </si>
  <si>
    <t>이만 들어가자.</t>
    <phoneticPr fontId="1" type="noConversion"/>
  </si>
  <si>
    <t>곧 해가 져서 추워질 거야.</t>
    <phoneticPr fontId="1" type="noConversion"/>
  </si>
  <si>
    <t>엄마!!</t>
    <phoneticPr fontId="1" type="noConversion"/>
  </si>
  <si>
    <t>이야옹~!</t>
    <phoneticPr fontId="1" type="noConversion"/>
  </si>
  <si>
    <t>그 쥐는 다행히 높은 곳으로 올라가 숨었지만,</t>
    <phoneticPr fontId="1" type="noConversion"/>
  </si>
  <si>
    <t>어떡하지?</t>
    <phoneticPr fontId="1" type="noConversion"/>
  </si>
  <si>
    <t>구해줄 방법이 없을까?</t>
    <phoneticPr fontId="1" type="noConversion"/>
  </si>
  <si>
    <t>너도 이곳 쥐가 아닌 모양이구나?</t>
    <phoneticPr fontId="1" type="noConversion"/>
  </si>
  <si>
    <t>손님이 둘이나 되다니 조용한 마을이 아주 축제 같은 분위기가 됐네!</t>
    <phoneticPr fontId="1" type="noConversion"/>
  </si>
  <si>
    <t>뭐, 뭐야?</t>
    <phoneticPr fontId="1" type="noConversion"/>
  </si>
  <si>
    <t>그, 그런걸 음식에 넣으면 어떡하냐!</t>
    <phoneticPr fontId="1" type="noConversion"/>
  </si>
  <si>
    <t>내가 먹기 전에 발견했으니까 괜찮잖아?</t>
  </si>
  <si>
    <t>너무 마음 쓰지 마.</t>
  </si>
  <si>
    <t>고마워. 너는 정말 똑똑하고 상냥하구나.</t>
  </si>
  <si>
    <t>이런 저런 이야기를 하다 보니 날이 저물었다.</t>
  </si>
  <si>
    <t>커다란 말벌이 독침을 휘두르고 있었다!</t>
    <phoneticPr fontId="1" type="noConversion"/>
  </si>
  <si>
    <t>캄파라가 얼른 돌을 집어 던졌다.</t>
    <phoneticPr fontId="1" type="noConversion"/>
  </si>
  <si>
    <t>덕분에 간신히 독침에 찔리는 것을 피할 수 있었다.</t>
    <phoneticPr fontId="1" type="noConversion"/>
  </si>
  <si>
    <t>고마워. 너는 정말 용감한 쥐구나.</t>
    <phoneticPr fontId="1" type="noConversion"/>
  </si>
  <si>
    <t>나는 불안해서 더 이상 못 먹겠어.</t>
  </si>
  <si>
    <t>너무해.</t>
  </si>
  <si>
    <t>구해줬는데 고맙다는 말도 안 하고!</t>
  </si>
  <si>
    <t>난 괜찮아.</t>
  </si>
  <si>
    <t>너 손바닥에 그거 상처 아니야?</t>
  </si>
  <si>
    <t>땅을 짚을 때 쓸렸나 봐.</t>
  </si>
  <si>
    <t>별 거 아니야.</t>
  </si>
  <si>
    <t>그래도 덧나기라도 하면 안돼.</t>
  </si>
  <si>
    <t>내가 치료해줄게.</t>
  </si>
  <si>
    <t>상처를 치료받고 이런 저런 이야기를 하다 보니 날이 저물었다.</t>
  </si>
  <si>
    <t>뭐야?</t>
    <phoneticPr fontId="1" type="noConversion"/>
  </si>
  <si>
    <t>축제가 끝나고 마을에서 마련해준 숙소로 가려는데 우르보가 나를 불러 세웠다.</t>
    <phoneticPr fontId="1" type="noConversion"/>
  </si>
  <si>
    <t>아, 아니!</t>
    <phoneticPr fontId="1" type="noConversion"/>
  </si>
  <si>
    <t>너 주려는 거야!</t>
    <phoneticPr fontId="1" type="noConversion"/>
  </si>
  <si>
    <t>어리둥절해져 손 안의 돌멩이를 바라보고 있는데 뒤에서 누군가 나를 불렀다.</t>
    <phoneticPr fontId="1" type="noConversion"/>
  </si>
  <si>
    <t>그게 뭐야?</t>
    <phoneticPr fontId="1" type="noConversion"/>
  </si>
  <si>
    <t>이거? 우르보가 줬어.</t>
    <phoneticPr fontId="1" type="noConversion"/>
  </si>
  <si>
    <t>…있지, 오늘 우리 집에서 자지 않을래?</t>
  </si>
  <si>
    <t>너희 집? 좋아!</t>
  </si>
  <si>
    <t>그리고 우리 둘은 밤이 늦도록 어린 시절 이야기를 나누다 잠이 들었다.</t>
  </si>
  <si>
    <t>라고</t>
    <phoneticPr fontId="1" type="noConversion"/>
  </si>
  <si>
    <t>라고</t>
    <phoneticPr fontId="1" type="noConversion"/>
  </si>
  <si>
    <t>몬토</t>
    <phoneticPr fontId="1" type="noConversion"/>
  </si>
  <si>
    <t>나</t>
    <phoneticPr fontId="1" type="noConversion"/>
  </si>
  <si>
    <t>나</t>
    <phoneticPr fontId="1" type="noConversion"/>
  </si>
  <si>
    <t>나</t>
    <phoneticPr fontId="1" type="noConversion"/>
  </si>
  <si>
    <t>이건...?</t>
    <phoneticPr fontId="1" type="noConversion"/>
  </si>
  <si>
    <t>나</t>
    <phoneticPr fontId="1" type="noConversion"/>
  </si>
  <si>
    <t>라고</t>
    <phoneticPr fontId="1" type="noConversion"/>
  </si>
  <si>
    <t>몬토</t>
    <phoneticPr fontId="1" type="noConversion"/>
  </si>
  <si>
    <t>몬토</t>
    <phoneticPr fontId="1" type="noConversion"/>
  </si>
  <si>
    <t>라고</t>
    <phoneticPr fontId="1" type="noConversion"/>
  </si>
  <si>
    <t>고양이</t>
    <phoneticPr fontId="1" type="noConversion"/>
  </si>
  <si>
    <t>캄파라</t>
    <phoneticPr fontId="1" type="noConversion"/>
  </si>
  <si>
    <t>나</t>
    <phoneticPr fontId="1" type="noConversion"/>
  </si>
  <si>
    <t>우르보</t>
  </si>
  <si>
    <t>우르보</t>
    <phoneticPr fontId="1" type="noConversion"/>
  </si>
  <si>
    <t>나</t>
    <phoneticPr fontId="1" type="noConversion"/>
  </si>
  <si>
    <t>나</t>
    <phoneticPr fontId="1" type="noConversion"/>
  </si>
  <si>
    <t>나</t>
    <phoneticPr fontId="1" type="noConversion"/>
  </si>
  <si>
    <t>우르보</t>
    <phoneticPr fontId="1" type="noConversion"/>
  </si>
  <si>
    <t>캄파라</t>
    <phoneticPr fontId="1" type="noConversion"/>
  </si>
  <si>
    <t>캄파라</t>
    <phoneticPr fontId="1" type="noConversion"/>
  </si>
  <si>
    <t>나</t>
    <phoneticPr fontId="1" type="noConversion"/>
  </si>
  <si>
    <t>우르보</t>
    <phoneticPr fontId="1" type="noConversion"/>
  </si>
  <si>
    <t>우르보</t>
    <phoneticPr fontId="1" type="noConversion"/>
  </si>
  <si>
    <t>나</t>
    <phoneticPr fontId="1" type="noConversion"/>
  </si>
  <si>
    <t>캄파라</t>
    <phoneticPr fontId="1" type="noConversion"/>
  </si>
  <si>
    <t>우르보</t>
    <phoneticPr fontId="1" type="noConversion"/>
  </si>
  <si>
    <t>캄파라</t>
    <phoneticPr fontId="1" type="noConversion"/>
  </si>
  <si>
    <t>나</t>
    <phoneticPr fontId="1" type="noConversion"/>
  </si>
  <si>
    <t>캄파라</t>
    <phoneticPr fontId="1" type="noConversion"/>
  </si>
  <si>
    <t>나</t>
    <phoneticPr fontId="1" type="noConversion"/>
  </si>
  <si>
    <t>나</t>
    <phoneticPr fontId="1" type="noConversion"/>
  </si>
  <si>
    <t>캄파라</t>
    <phoneticPr fontId="1" type="noConversion"/>
  </si>
  <si>
    <t>나</t>
    <phoneticPr fontId="1" type="noConversion"/>
  </si>
  <si>
    <t>우르보</t>
    <phoneticPr fontId="1" type="noConversion"/>
  </si>
  <si>
    <t>우르보는 자리를 박차고 일어나 가버렸다.</t>
  </si>
  <si>
    <t>나</t>
    <phoneticPr fontId="1" type="noConversion"/>
  </si>
  <si>
    <t>캄파라</t>
    <phoneticPr fontId="1" type="noConversion"/>
  </si>
  <si>
    <t>캄파라</t>
    <phoneticPr fontId="1" type="noConversion"/>
  </si>
  <si>
    <t>캄파라</t>
    <phoneticPr fontId="1" type="noConversion"/>
  </si>
  <si>
    <t>우르보</t>
    <phoneticPr fontId="1" type="noConversion"/>
  </si>
  <si>
    <t>나</t>
    <phoneticPr fontId="1" type="noConversion"/>
  </si>
  <si>
    <t>우르보</t>
    <phoneticPr fontId="1" type="noConversion"/>
  </si>
  <si>
    <t>우르보</t>
    <phoneticPr fontId="1" type="noConversion"/>
  </si>
  <si>
    <t>나</t>
    <phoneticPr fontId="1" type="noConversion"/>
  </si>
  <si>
    <t>캄파라</t>
    <phoneticPr fontId="1" type="noConversion"/>
  </si>
  <si>
    <t>캄파라</t>
    <phoneticPr fontId="1" type="noConversion"/>
  </si>
  <si>
    <t>캄파라</t>
    <phoneticPr fontId="1" type="noConversion"/>
  </si>
  <si>
    <t>캄파라</t>
    <phoneticPr fontId="1" type="noConversion"/>
  </si>
  <si>
    <t>캄파라</t>
    <phoneticPr fontId="1" type="noConversion"/>
  </si>
  <si>
    <t>나</t>
    <phoneticPr fontId="1" type="noConversion"/>
  </si>
  <si>
    <t>???</t>
    <phoneticPr fontId="1" type="noConversion"/>
  </si>
  <si>
    <t>???</t>
    <phoneticPr fontId="1" type="noConversion"/>
  </si>
  <si>
    <t>???</t>
    <phoneticPr fontId="1" type="noConversion"/>
  </si>
  <si>
    <t>???</t>
    <phoneticPr fontId="1" type="noConversion"/>
  </si>
  <si>
    <t>정신이 들어?</t>
    <phoneticPr fontId="1" type="noConversion"/>
  </si>
  <si>
    <t>???</t>
    <phoneticPr fontId="1" type="noConversion"/>
  </si>
  <si>
    <t>???</t>
    <phoneticPr fontId="1" type="noConversion"/>
  </si>
  <si>
    <t>???</t>
    <phoneticPr fontId="1" type="noConversion"/>
  </si>
  <si>
    <t>Angry</t>
    <phoneticPr fontId="1" type="noConversion"/>
  </si>
  <si>
    <t>Smile</t>
    <phoneticPr fontId="1" type="noConversion"/>
  </si>
  <si>
    <t>Worry</t>
    <phoneticPr fontId="1" type="noConversion"/>
  </si>
  <si>
    <t>Smile</t>
    <phoneticPr fontId="1" type="noConversion"/>
  </si>
  <si>
    <t>Smile</t>
    <phoneticPr fontId="1" type="noConversion"/>
  </si>
  <si>
    <t>Worry</t>
    <phoneticPr fontId="1" type="noConversion"/>
  </si>
  <si>
    <t>Smile</t>
    <phoneticPr fontId="1" type="noConversion"/>
  </si>
  <si>
    <t>Smile</t>
    <phoneticPr fontId="1" type="noConversion"/>
  </si>
  <si>
    <t>Worry</t>
    <phoneticPr fontId="1" type="noConversion"/>
  </si>
  <si>
    <t>Idle</t>
    <phoneticPr fontId="1" type="noConversion"/>
  </si>
  <si>
    <t>몬토</t>
    <phoneticPr fontId="1" type="noConversion"/>
  </si>
  <si>
    <t>Idle</t>
    <phoneticPr fontId="1" type="noConversion"/>
  </si>
  <si>
    <t>Idle</t>
    <phoneticPr fontId="1" type="noConversion"/>
  </si>
  <si>
    <t>라고, 몬토</t>
    <phoneticPr fontId="1" type="noConversion"/>
  </si>
  <si>
    <t>Cat</t>
    <phoneticPr fontId="1" type="noConversion"/>
  </si>
  <si>
    <t>Kampara</t>
    <phoneticPr fontId="1" type="noConversion"/>
  </si>
  <si>
    <t>Urbo</t>
  </si>
  <si>
    <t>Surprise</t>
    <phoneticPr fontId="1" type="noConversion"/>
  </si>
  <si>
    <t>Idle</t>
    <phoneticPr fontId="1" type="noConversion"/>
  </si>
  <si>
    <t>PlayerM</t>
    <phoneticPr fontId="1" type="noConversion"/>
  </si>
  <si>
    <t>Urbo</t>
    <phoneticPr fontId="1" type="noConversion"/>
  </si>
  <si>
    <t>Kampara</t>
    <phoneticPr fontId="1" type="noConversion"/>
  </si>
  <si>
    <t>PlayerM</t>
    <phoneticPr fontId="1" type="noConversion"/>
  </si>
  <si>
    <t>Surprise</t>
    <phoneticPr fontId="1" type="noConversion"/>
  </si>
  <si>
    <t>파앗하고 회상할 때 나오는 효과음</t>
    <phoneticPr fontId="1" type="noConversion"/>
  </si>
  <si>
    <t>헉헉하고 달리는 효과음</t>
    <phoneticPr fontId="1" type="noConversion"/>
  </si>
  <si>
    <t>심장 두근하는 효과음</t>
    <phoneticPr fontId="1" type="noConversion"/>
  </si>
  <si>
    <t>Stage2_FirstScene_ForestofNight_BGM</t>
    <phoneticPr fontId="1" type="noConversion"/>
  </si>
  <si>
    <t>철컥하는 효과음</t>
    <phoneticPr fontId="1" type="noConversion"/>
  </si>
  <si>
    <t>덤불 부스럭대는 효과음</t>
    <phoneticPr fontId="1" type="noConversion"/>
  </si>
  <si>
    <t>STOP_BGM_SOUND</t>
    <phoneticPr fontId="1" type="noConversion"/>
  </si>
  <si>
    <t>STOP_BGM_SOUND</t>
    <phoneticPr fontId="1" type="noConversion"/>
  </si>
  <si>
    <t>STOP_BGM_SOUND</t>
    <phoneticPr fontId="1" type="noConversion"/>
  </si>
  <si>
    <t>PLAY_BGM_SOUND</t>
    <phoneticPr fontId="1" type="noConversion"/>
  </si>
  <si>
    <t>AQuietLandscape</t>
    <phoneticPr fontId="1" type="noConversion"/>
  </si>
  <si>
    <t>Cat</t>
    <phoneticPr fontId="1" type="noConversion"/>
  </si>
  <si>
    <t>AQuietLandscape</t>
    <phoneticPr fontId="1" type="noConversion"/>
  </si>
  <si>
    <t>TulipFestival</t>
    <phoneticPr fontId="1" type="noConversion"/>
  </si>
  <si>
    <t>STOP_BGM_SOUND</t>
    <phoneticPr fontId="1" type="noConversion"/>
  </si>
  <si>
    <t>Bee</t>
    <phoneticPr fontId="1" type="noConversion"/>
  </si>
  <si>
    <t>DynamicLettering</t>
    <phoneticPr fontId="1" type="noConversion"/>
  </si>
  <si>
    <t>TulipFestival</t>
    <phoneticPr fontId="1" type="noConversion"/>
  </si>
  <si>
    <t>STOP_BGM_SOUND</t>
    <phoneticPr fontId="1" type="noConversion"/>
  </si>
  <si>
    <t>Bee</t>
    <phoneticPr fontId="1" type="noConversion"/>
  </si>
  <si>
    <t>Bee</t>
    <phoneticPr fontId="1" type="noConversion"/>
  </si>
  <si>
    <t>Whip</t>
    <phoneticPr fontId="1" type="noConversion"/>
  </si>
  <si>
    <t>Whip</t>
    <phoneticPr fontId="1" type="noConversion"/>
  </si>
  <si>
    <t>PLAY_BGM_SOUND</t>
    <phoneticPr fontId="1" type="noConversion"/>
  </si>
  <si>
    <t>Beach</t>
    <phoneticPr fontId="1" type="noConversion"/>
  </si>
  <si>
    <t>STOP_BGM_SOUND</t>
    <phoneticPr fontId="1" type="noConversion"/>
  </si>
  <si>
    <t>Beach</t>
    <phoneticPr fontId="1" type="noConversion"/>
  </si>
  <si>
    <t>AloneintheRoom</t>
  </si>
  <si>
    <t>AloneintheRoom</t>
    <phoneticPr fontId="1" type="noConversion"/>
  </si>
  <si>
    <t>PLAY_CUT_SCENE</t>
    <phoneticPr fontId="1" type="noConversion"/>
  </si>
  <si>
    <t>Img_Scene1</t>
    <phoneticPr fontId="1" type="noConversion"/>
  </si>
  <si>
    <t>CLOSE_CUT_SCENE</t>
    <phoneticPr fontId="1" type="noConversion"/>
  </si>
  <si>
    <t>Lago</t>
    <phoneticPr fontId="1" type="noConversion"/>
  </si>
  <si>
    <t>Monto</t>
    <phoneticPr fontId="1" type="noConversion"/>
  </si>
  <si>
    <t>STOP_BGM_SOUND&amp;STORY_COMPLETE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</si>
</sst>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Arial"/>
      <family val="2"/>
    </font>
    <font>
      <sz val="11"/>
      <color rgb="FF000000"/>
      <name val="돋움"/>
      <family val="3"/>
      <charset val="129"/>
    </font>
    <font>
      <sz val="11"/>
      <color rgb="FF000000"/>
      <name val="맑은 고딕"/>
      <family val="2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Arial Unicode MS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59"/>
  <sheetViews>
    <sheetView tabSelected="1" zoomScale="80" zoomScaleNormal="80" workbookViewId="0">
      <pane ySplit="1" topLeftCell="A71" activePane="bottomLeft" state="frozen"/>
      <selection activeCell="B1" sqref="B1"/>
      <selection pane="bottomLeft" activeCell="J79" sqref="J79"/>
    </sheetView>
  </sheetViews>
  <sheetFormatPr defaultRowHeight="16.5"/>
  <cols>
    <col min="3" max="3" width="6.375" bestFit="1" customWidth="1"/>
    <col min="4" max="4" width="15.125" bestFit="1" customWidth="1"/>
    <col min="5" max="5" width="8.625" bestFit="1" customWidth="1"/>
    <col min="6" max="6" width="11.875" bestFit="1" customWidth="1"/>
    <col min="7" max="7" width="8.625" bestFit="1" customWidth="1"/>
    <col min="8" max="8" width="9.125" customWidth="1"/>
    <col min="9" max="9" width="8.625" customWidth="1"/>
    <col min="10" max="10" width="39.25" bestFit="1" customWidth="1"/>
    <col min="11" max="11" width="62" bestFit="1" customWidth="1"/>
    <col min="12" max="12" width="72.625" style="5" customWidth="1"/>
    <col min="13" max="13" width="26.125" bestFit="1" customWidth="1"/>
  </cols>
  <sheetData>
    <row r="1" spans="1:13">
      <c r="A1" s="1" t="s">
        <v>4</v>
      </c>
      <c r="B1" s="1" t="s">
        <v>348</v>
      </c>
      <c r="C1" s="1" t="s">
        <v>0</v>
      </c>
      <c r="D1" s="1" t="s">
        <v>1</v>
      </c>
      <c r="E1" s="1" t="s">
        <v>349</v>
      </c>
      <c r="F1" s="1" t="s">
        <v>6</v>
      </c>
      <c r="G1" s="1" t="s">
        <v>7</v>
      </c>
      <c r="H1" s="1" t="s">
        <v>343</v>
      </c>
      <c r="I1" s="1" t="s">
        <v>345</v>
      </c>
      <c r="J1" s="1" t="s">
        <v>346</v>
      </c>
      <c r="K1" s="1" t="s">
        <v>347</v>
      </c>
      <c r="L1" s="4" t="s">
        <v>2</v>
      </c>
      <c r="M1" s="1" t="s">
        <v>3</v>
      </c>
    </row>
    <row r="2" spans="1:13">
      <c r="A2" s="1">
        <v>1</v>
      </c>
      <c r="B2" s="1">
        <v>0</v>
      </c>
      <c r="C2" s="1">
        <v>1</v>
      </c>
      <c r="D2" s="1" t="s">
        <v>90</v>
      </c>
      <c r="E2" s="1" t="s">
        <v>90</v>
      </c>
      <c r="F2" s="1" t="s">
        <v>90</v>
      </c>
      <c r="G2" s="1" t="s">
        <v>90</v>
      </c>
      <c r="H2" s="1" t="s">
        <v>507</v>
      </c>
      <c r="I2" s="1">
        <v>1</v>
      </c>
      <c r="J2" s="1" t="s">
        <v>351</v>
      </c>
      <c r="K2" s="1" t="s">
        <v>357</v>
      </c>
      <c r="L2" s="5" t="s">
        <v>12</v>
      </c>
      <c r="M2" s="1" t="s">
        <v>11</v>
      </c>
    </row>
    <row r="3" spans="1:13">
      <c r="A3" s="1">
        <v>1</v>
      </c>
      <c r="B3" s="1">
        <v>0</v>
      </c>
      <c r="C3" s="1">
        <v>2</v>
      </c>
      <c r="D3" t="s">
        <v>80</v>
      </c>
      <c r="E3" s="1">
        <f t="shared" ref="E3" si="0">IF(D3="Abaro",-400,400)</f>
        <v>-400</v>
      </c>
      <c r="F3" s="1">
        <f t="shared" ref="F3:F6" si="1">IF(E3=400,2,1)</f>
        <v>1</v>
      </c>
      <c r="G3" s="1" t="s">
        <v>81</v>
      </c>
      <c r="H3" s="1" t="s">
        <v>504</v>
      </c>
      <c r="I3" s="1">
        <v>1</v>
      </c>
      <c r="J3" s="1" t="s">
        <v>90</v>
      </c>
      <c r="K3" s="1" t="s">
        <v>90</v>
      </c>
      <c r="L3" s="7" t="s">
        <v>508</v>
      </c>
      <c r="M3" t="s">
        <v>90</v>
      </c>
    </row>
    <row r="4" spans="1:13">
      <c r="A4" s="1">
        <v>1</v>
      </c>
      <c r="B4" s="1">
        <v>0</v>
      </c>
      <c r="C4" s="1">
        <v>3</v>
      </c>
      <c r="D4" t="s">
        <v>79</v>
      </c>
      <c r="E4" s="1">
        <v>400</v>
      </c>
      <c r="F4" s="1">
        <f t="shared" si="1"/>
        <v>2</v>
      </c>
      <c r="G4" s="1" t="s">
        <v>81</v>
      </c>
      <c r="H4" s="1" t="s">
        <v>456</v>
      </c>
      <c r="I4" s="1">
        <v>1</v>
      </c>
      <c r="J4" s="1" t="s">
        <v>352</v>
      </c>
      <c r="K4" s="1" t="s">
        <v>356</v>
      </c>
      <c r="L4" s="6" t="s">
        <v>341</v>
      </c>
      <c r="M4" t="s">
        <v>90</v>
      </c>
    </row>
    <row r="5" spans="1:13">
      <c r="A5" s="1">
        <v>1</v>
      </c>
      <c r="B5" s="1">
        <v>0</v>
      </c>
      <c r="C5" s="1">
        <v>4</v>
      </c>
      <c r="D5" t="s">
        <v>80</v>
      </c>
      <c r="E5" s="1">
        <f t="shared" ref="E5:E67" si="2">IF(D5="Abaro",-400,400)</f>
        <v>-400</v>
      </c>
      <c r="F5" s="1">
        <f t="shared" si="1"/>
        <v>1</v>
      </c>
      <c r="G5" s="1" t="s">
        <v>81</v>
      </c>
      <c r="H5" s="1" t="str">
        <f>IF(D5="Player","나","아바로")</f>
        <v>아바로</v>
      </c>
      <c r="I5" s="1">
        <v>1</v>
      </c>
      <c r="J5" s="1" t="s">
        <v>352</v>
      </c>
      <c r="K5" s="1" t="s">
        <v>352</v>
      </c>
      <c r="L5" s="7" t="s">
        <v>404</v>
      </c>
      <c r="M5" t="s">
        <v>90</v>
      </c>
    </row>
    <row r="6" spans="1:13">
      <c r="A6" s="1">
        <v>1</v>
      </c>
      <c r="B6" s="1">
        <v>0</v>
      </c>
      <c r="C6" s="1">
        <v>5</v>
      </c>
      <c r="D6" t="s">
        <v>80</v>
      </c>
      <c r="E6" s="1">
        <f t="shared" si="2"/>
        <v>-400</v>
      </c>
      <c r="F6" s="1">
        <f t="shared" si="1"/>
        <v>1</v>
      </c>
      <c r="G6" s="1" t="s">
        <v>81</v>
      </c>
      <c r="H6" s="1" t="str">
        <f>IF(D6="Player","나","아바로")</f>
        <v>아바로</v>
      </c>
      <c r="I6" s="1">
        <v>1</v>
      </c>
      <c r="J6" s="1" t="s">
        <v>352</v>
      </c>
      <c r="K6" s="1" t="s">
        <v>352</v>
      </c>
      <c r="L6" s="7" t="s">
        <v>377</v>
      </c>
      <c r="M6" t="s">
        <v>90</v>
      </c>
    </row>
    <row r="7" spans="1:13">
      <c r="A7" s="1">
        <v>1</v>
      </c>
      <c r="B7" s="1">
        <v>0</v>
      </c>
      <c r="C7" s="1">
        <v>6</v>
      </c>
      <c r="D7" t="s">
        <v>80</v>
      </c>
      <c r="E7" s="1">
        <f t="shared" si="2"/>
        <v>-400</v>
      </c>
      <c r="F7" s="1">
        <f>IF(E7=400,2,1)</f>
        <v>1</v>
      </c>
      <c r="G7" s="1" t="s">
        <v>81</v>
      </c>
      <c r="H7" s="1" t="str">
        <f>IF(D7="Player","나","아바로")</f>
        <v>아바로</v>
      </c>
      <c r="I7" s="1">
        <v>1</v>
      </c>
      <c r="J7" s="1" t="s">
        <v>352</v>
      </c>
      <c r="K7" s="1" t="s">
        <v>352</v>
      </c>
      <c r="L7" s="7" t="s">
        <v>361</v>
      </c>
      <c r="M7" t="s">
        <v>90</v>
      </c>
    </row>
    <row r="8" spans="1:13">
      <c r="A8" s="1">
        <v>1</v>
      </c>
      <c r="B8" s="1">
        <v>0</v>
      </c>
      <c r="C8" s="1">
        <v>7</v>
      </c>
      <c r="D8" t="s">
        <v>79</v>
      </c>
      <c r="E8" s="1">
        <f t="shared" si="2"/>
        <v>400</v>
      </c>
      <c r="F8" s="1">
        <f>IF(E8=400,2,1)</f>
        <v>2</v>
      </c>
      <c r="G8" s="1" t="s">
        <v>81</v>
      </c>
      <c r="H8" s="1" t="str">
        <f>IF(D8="Player","나","아바로")</f>
        <v>나</v>
      </c>
      <c r="I8" s="1">
        <v>1</v>
      </c>
      <c r="J8" s="1" t="s">
        <v>352</v>
      </c>
      <c r="K8" s="1" t="s">
        <v>352</v>
      </c>
      <c r="L8" s="7" t="s">
        <v>18</v>
      </c>
      <c r="M8" t="s">
        <v>90</v>
      </c>
    </row>
    <row r="9" spans="1:13">
      <c r="A9" s="1">
        <v>1</v>
      </c>
      <c r="B9" s="1">
        <v>0</v>
      </c>
      <c r="C9" s="1">
        <v>8</v>
      </c>
      <c r="D9" s="1" t="s">
        <v>90</v>
      </c>
      <c r="E9" s="1" t="s">
        <v>90</v>
      </c>
      <c r="F9" s="1" t="s">
        <v>90</v>
      </c>
      <c r="G9" s="1" t="s">
        <v>90</v>
      </c>
      <c r="H9" s="1" t="s">
        <v>90</v>
      </c>
      <c r="I9" s="1">
        <v>1</v>
      </c>
      <c r="J9" s="1" t="s">
        <v>352</v>
      </c>
      <c r="K9" s="1" t="s">
        <v>536</v>
      </c>
      <c r="L9" s="7" t="s">
        <v>362</v>
      </c>
      <c r="M9" t="s">
        <v>90</v>
      </c>
    </row>
    <row r="10" spans="1:13">
      <c r="A10" s="1">
        <v>1</v>
      </c>
      <c r="B10" s="1">
        <v>0</v>
      </c>
      <c r="C10" s="1">
        <v>9</v>
      </c>
      <c r="D10" s="1" t="s">
        <v>90</v>
      </c>
      <c r="E10" s="1" t="s">
        <v>90</v>
      </c>
      <c r="F10" s="1" t="s">
        <v>90</v>
      </c>
      <c r="G10" s="1" t="s">
        <v>90</v>
      </c>
      <c r="H10" s="1" t="s">
        <v>90</v>
      </c>
      <c r="I10" s="1">
        <v>1</v>
      </c>
      <c r="J10" s="1" t="s">
        <v>352</v>
      </c>
      <c r="K10" s="1" t="s">
        <v>536</v>
      </c>
      <c r="L10" s="7" t="s">
        <v>363</v>
      </c>
      <c r="M10" t="s">
        <v>90</v>
      </c>
    </row>
    <row r="11" spans="1:13">
      <c r="A11" s="1">
        <v>1</v>
      </c>
      <c r="B11" s="1">
        <v>0</v>
      </c>
      <c r="C11" s="1">
        <v>10</v>
      </c>
      <c r="D11" s="1" t="s">
        <v>90</v>
      </c>
      <c r="E11" s="1" t="s">
        <v>90</v>
      </c>
      <c r="F11" s="1" t="s">
        <v>90</v>
      </c>
      <c r="G11" s="1" t="s">
        <v>90</v>
      </c>
      <c r="H11" s="1" t="s">
        <v>90</v>
      </c>
      <c r="I11" s="1">
        <v>1</v>
      </c>
      <c r="J11" s="1" t="s">
        <v>352</v>
      </c>
      <c r="K11" s="1" t="s">
        <v>536</v>
      </c>
      <c r="L11" s="7" t="s">
        <v>364</v>
      </c>
      <c r="M11" t="s">
        <v>90</v>
      </c>
    </row>
    <row r="12" spans="1:13">
      <c r="A12" s="1">
        <v>1</v>
      </c>
      <c r="B12" s="1">
        <v>0</v>
      </c>
      <c r="C12" s="1">
        <v>11</v>
      </c>
      <c r="D12" s="1" t="s">
        <v>90</v>
      </c>
      <c r="E12" s="1" t="s">
        <v>90</v>
      </c>
      <c r="F12" s="1" t="s">
        <v>90</v>
      </c>
      <c r="G12" s="1" t="s">
        <v>90</v>
      </c>
      <c r="H12" s="1" t="s">
        <v>90</v>
      </c>
      <c r="I12" s="1">
        <v>1</v>
      </c>
      <c r="J12" s="1" t="s">
        <v>352</v>
      </c>
      <c r="K12" s="1" t="s">
        <v>536</v>
      </c>
      <c r="L12" s="7" t="s">
        <v>22</v>
      </c>
      <c r="M12" t="s">
        <v>90</v>
      </c>
    </row>
    <row r="13" spans="1:13">
      <c r="A13" s="1">
        <v>1</v>
      </c>
      <c r="B13" s="1">
        <v>0</v>
      </c>
      <c r="C13" s="1">
        <v>12</v>
      </c>
      <c r="D13" s="1" t="s">
        <v>90</v>
      </c>
      <c r="E13" s="1" t="s">
        <v>90</v>
      </c>
      <c r="F13" s="1" t="s">
        <v>90</v>
      </c>
      <c r="G13" s="1" t="s">
        <v>90</v>
      </c>
      <c r="H13" s="1" t="s">
        <v>90</v>
      </c>
      <c r="I13" s="1">
        <v>1</v>
      </c>
      <c r="J13" s="1" t="s">
        <v>352</v>
      </c>
      <c r="K13" s="1" t="s">
        <v>536</v>
      </c>
      <c r="L13" s="7" t="s">
        <v>23</v>
      </c>
      <c r="M13" t="s">
        <v>90</v>
      </c>
    </row>
    <row r="14" spans="1:13">
      <c r="A14" s="1">
        <v>1</v>
      </c>
      <c r="B14" s="1">
        <v>0</v>
      </c>
      <c r="C14" s="1">
        <v>13</v>
      </c>
      <c r="D14" t="s">
        <v>79</v>
      </c>
      <c r="E14" s="1">
        <f t="shared" si="2"/>
        <v>400</v>
      </c>
      <c r="F14" s="1">
        <f>IF(E14=400,2,1)</f>
        <v>2</v>
      </c>
      <c r="G14" s="1" t="s">
        <v>244</v>
      </c>
      <c r="H14" s="1" t="str">
        <f>IF(D14="Player","나","아바로")</f>
        <v>나</v>
      </c>
      <c r="I14" s="1">
        <v>1</v>
      </c>
      <c r="J14" s="1" t="s">
        <v>352</v>
      </c>
      <c r="K14" s="1" t="s">
        <v>352</v>
      </c>
      <c r="L14" s="7" t="s">
        <v>378</v>
      </c>
      <c r="M14" t="s">
        <v>90</v>
      </c>
    </row>
    <row r="15" spans="1:13">
      <c r="A15" s="1">
        <v>1</v>
      </c>
      <c r="B15" s="1">
        <v>0</v>
      </c>
      <c r="C15" s="1">
        <v>14</v>
      </c>
      <c r="D15" s="1" t="s">
        <v>90</v>
      </c>
      <c r="E15" s="1" t="s">
        <v>90</v>
      </c>
      <c r="F15" s="1" t="s">
        <v>90</v>
      </c>
      <c r="G15" s="1" t="s">
        <v>90</v>
      </c>
      <c r="H15" s="1" t="s">
        <v>90</v>
      </c>
      <c r="I15" s="1">
        <v>1</v>
      </c>
      <c r="J15" s="1" t="s">
        <v>352</v>
      </c>
      <c r="K15" s="1" t="s">
        <v>537</v>
      </c>
      <c r="L15" s="7" t="s">
        <v>25</v>
      </c>
      <c r="M15" s="1" t="s">
        <v>350</v>
      </c>
    </row>
    <row r="16" spans="1:13">
      <c r="A16" s="1">
        <v>1</v>
      </c>
      <c r="B16" s="1">
        <v>0</v>
      </c>
      <c r="C16" s="1">
        <v>15</v>
      </c>
      <c r="D16" s="1" t="s">
        <v>90</v>
      </c>
      <c r="E16" s="1" t="s">
        <v>90</v>
      </c>
      <c r="F16" s="1" t="s">
        <v>90</v>
      </c>
      <c r="G16" s="1" t="s">
        <v>90</v>
      </c>
      <c r="H16" s="1" t="s">
        <v>90</v>
      </c>
      <c r="I16" s="1">
        <v>1</v>
      </c>
      <c r="J16" s="1" t="s">
        <v>352</v>
      </c>
      <c r="K16" s="1" t="s">
        <v>537</v>
      </c>
      <c r="L16" s="7" t="s">
        <v>26</v>
      </c>
      <c r="M16" t="s">
        <v>90</v>
      </c>
    </row>
    <row r="17" spans="1:13">
      <c r="A17" s="1">
        <v>1</v>
      </c>
      <c r="B17" s="1">
        <v>0</v>
      </c>
      <c r="C17" s="1">
        <v>16</v>
      </c>
      <c r="D17" s="1" t="s">
        <v>90</v>
      </c>
      <c r="E17" s="1" t="s">
        <v>90</v>
      </c>
      <c r="F17" s="1" t="s">
        <v>90</v>
      </c>
      <c r="G17" s="1" t="s">
        <v>90</v>
      </c>
      <c r="H17" s="1" t="s">
        <v>90</v>
      </c>
      <c r="I17" s="1">
        <v>1</v>
      </c>
      <c r="J17" s="1" t="s">
        <v>352</v>
      </c>
      <c r="K17" s="1" t="s">
        <v>537</v>
      </c>
      <c r="L17" s="7" t="s">
        <v>379</v>
      </c>
      <c r="M17" t="s">
        <v>90</v>
      </c>
    </row>
    <row r="18" spans="1:13">
      <c r="A18" s="1">
        <v>1</v>
      </c>
      <c r="B18" s="1">
        <v>0</v>
      </c>
      <c r="C18" s="1">
        <v>17</v>
      </c>
      <c r="D18" s="1" t="s">
        <v>90</v>
      </c>
      <c r="E18" s="1" t="s">
        <v>90</v>
      </c>
      <c r="F18" s="1" t="s">
        <v>90</v>
      </c>
      <c r="G18" s="1" t="s">
        <v>90</v>
      </c>
      <c r="H18" s="1" t="s">
        <v>90</v>
      </c>
      <c r="I18" s="1">
        <v>1</v>
      </c>
      <c r="J18" s="1" t="s">
        <v>352</v>
      </c>
      <c r="K18" s="1" t="s">
        <v>352</v>
      </c>
      <c r="L18" s="7" t="s">
        <v>28</v>
      </c>
      <c r="M18" t="s">
        <v>90</v>
      </c>
    </row>
    <row r="19" spans="1:13">
      <c r="A19" s="1">
        <v>1</v>
      </c>
      <c r="B19" s="1">
        <v>0</v>
      </c>
      <c r="C19" s="1">
        <v>18</v>
      </c>
      <c r="D19" s="1" t="s">
        <v>90</v>
      </c>
      <c r="E19" s="1" t="s">
        <v>90</v>
      </c>
      <c r="F19" s="1" t="s">
        <v>90</v>
      </c>
      <c r="G19" s="1" t="s">
        <v>90</v>
      </c>
      <c r="H19" s="1" t="s">
        <v>506</v>
      </c>
      <c r="I19" s="1">
        <v>1</v>
      </c>
      <c r="J19" s="1" t="s">
        <v>354</v>
      </c>
      <c r="K19" s="1" t="s">
        <v>358</v>
      </c>
      <c r="L19" s="7" t="s">
        <v>380</v>
      </c>
      <c r="M19" t="s">
        <v>90</v>
      </c>
    </row>
    <row r="20" spans="1:13">
      <c r="A20" s="1">
        <v>1</v>
      </c>
      <c r="B20" s="1">
        <v>0</v>
      </c>
      <c r="C20" s="1">
        <v>19</v>
      </c>
      <c r="D20" t="s">
        <v>80</v>
      </c>
      <c r="E20" s="1">
        <f t="shared" si="2"/>
        <v>-400</v>
      </c>
      <c r="F20" s="1">
        <f t="shared" ref="F20:F36" si="3">IF(E20=400,2,1)</f>
        <v>1</v>
      </c>
      <c r="G20" s="1" t="s">
        <v>81</v>
      </c>
      <c r="H20" s="1" t="s">
        <v>509</v>
      </c>
      <c r="I20" s="1">
        <v>1</v>
      </c>
      <c r="J20" s="1" t="s">
        <v>352</v>
      </c>
      <c r="K20" s="1" t="s">
        <v>352</v>
      </c>
      <c r="L20" s="7" t="s">
        <v>30</v>
      </c>
      <c r="M20" t="s">
        <v>90</v>
      </c>
    </row>
    <row r="21" spans="1:13">
      <c r="A21" s="1">
        <v>1</v>
      </c>
      <c r="B21" s="1">
        <v>0</v>
      </c>
      <c r="C21" s="1">
        <v>20</v>
      </c>
      <c r="D21" t="s">
        <v>79</v>
      </c>
      <c r="E21" s="1">
        <f t="shared" si="2"/>
        <v>400</v>
      </c>
      <c r="F21" s="1">
        <f t="shared" si="3"/>
        <v>2</v>
      </c>
      <c r="G21" s="1" t="s">
        <v>9</v>
      </c>
      <c r="H21" s="1" t="str">
        <f>IF(D21="Player","나","아바로")</f>
        <v>나</v>
      </c>
      <c r="I21" s="1">
        <v>1</v>
      </c>
      <c r="J21" s="1" t="s">
        <v>352</v>
      </c>
      <c r="K21" s="1" t="s">
        <v>352</v>
      </c>
      <c r="L21" s="7" t="s">
        <v>381</v>
      </c>
      <c r="M21" t="s">
        <v>90</v>
      </c>
    </row>
    <row r="22" spans="1:13">
      <c r="A22" s="1">
        <v>1</v>
      </c>
      <c r="B22" s="1">
        <v>0</v>
      </c>
      <c r="C22" s="1">
        <v>21</v>
      </c>
      <c r="D22" t="s">
        <v>80</v>
      </c>
      <c r="E22" s="1">
        <f t="shared" si="2"/>
        <v>-400</v>
      </c>
      <c r="F22" s="1">
        <f t="shared" si="3"/>
        <v>1</v>
      </c>
      <c r="G22" s="1" t="s">
        <v>9</v>
      </c>
      <c r="H22" s="1" t="s">
        <v>505</v>
      </c>
      <c r="I22" s="1">
        <v>1</v>
      </c>
      <c r="J22" s="1" t="s">
        <v>352</v>
      </c>
      <c r="K22" s="1" t="s">
        <v>352</v>
      </c>
      <c r="L22" s="7" t="s">
        <v>32</v>
      </c>
      <c r="M22" t="s">
        <v>90</v>
      </c>
    </row>
    <row r="23" spans="1:13">
      <c r="A23" s="1">
        <v>1</v>
      </c>
      <c r="B23" s="1">
        <v>0</v>
      </c>
      <c r="C23" s="1">
        <v>22</v>
      </c>
      <c r="D23" t="s">
        <v>80</v>
      </c>
      <c r="E23" s="1">
        <f t="shared" si="2"/>
        <v>-400</v>
      </c>
      <c r="F23" s="1">
        <f t="shared" si="3"/>
        <v>1</v>
      </c>
      <c r="G23" s="1" t="s">
        <v>9</v>
      </c>
      <c r="H23" s="1" t="s">
        <v>504</v>
      </c>
      <c r="I23" s="1">
        <v>1</v>
      </c>
      <c r="J23" s="1" t="s">
        <v>352</v>
      </c>
      <c r="K23" s="1" t="s">
        <v>352</v>
      </c>
      <c r="L23" s="7" t="s">
        <v>382</v>
      </c>
      <c r="M23" t="s">
        <v>90</v>
      </c>
    </row>
    <row r="24" spans="1:13">
      <c r="A24" s="1">
        <v>1</v>
      </c>
      <c r="B24" s="1">
        <v>0</v>
      </c>
      <c r="C24" s="1">
        <v>23</v>
      </c>
      <c r="D24" t="s">
        <v>79</v>
      </c>
      <c r="E24" s="1">
        <f t="shared" si="2"/>
        <v>400</v>
      </c>
      <c r="F24" s="1">
        <f t="shared" si="3"/>
        <v>2</v>
      </c>
      <c r="G24" s="1" t="s">
        <v>81</v>
      </c>
      <c r="H24" s="1" t="str">
        <f>IF(D24="Player","나","아바로")</f>
        <v>나</v>
      </c>
      <c r="I24" s="1">
        <v>1</v>
      </c>
      <c r="J24" s="1" t="s">
        <v>352</v>
      </c>
      <c r="K24" s="1" t="s">
        <v>352</v>
      </c>
      <c r="L24" s="7" t="s">
        <v>34</v>
      </c>
      <c r="M24" t="s">
        <v>90</v>
      </c>
    </row>
    <row r="25" spans="1:13">
      <c r="A25" s="1">
        <v>1</v>
      </c>
      <c r="B25" s="1">
        <v>0</v>
      </c>
      <c r="C25" s="1">
        <v>24</v>
      </c>
      <c r="D25" t="s">
        <v>79</v>
      </c>
      <c r="E25" s="1">
        <f t="shared" si="2"/>
        <v>400</v>
      </c>
      <c r="F25" s="1">
        <f t="shared" si="3"/>
        <v>2</v>
      </c>
      <c r="G25" s="1" t="s">
        <v>81</v>
      </c>
      <c r="H25" s="1" t="str">
        <f>IF(D25="Player","나","아바로")</f>
        <v>나</v>
      </c>
      <c r="I25" s="1">
        <v>1</v>
      </c>
      <c r="J25" s="1" t="s">
        <v>352</v>
      </c>
      <c r="K25" s="1" t="s">
        <v>352</v>
      </c>
      <c r="L25" s="7" t="s">
        <v>35</v>
      </c>
      <c r="M25" t="s">
        <v>90</v>
      </c>
    </row>
    <row r="26" spans="1:13">
      <c r="A26" s="1">
        <v>1</v>
      </c>
      <c r="B26" s="1">
        <v>0</v>
      </c>
      <c r="C26" s="1">
        <v>25</v>
      </c>
      <c r="D26" t="s">
        <v>80</v>
      </c>
      <c r="E26" s="1">
        <f t="shared" si="2"/>
        <v>-400</v>
      </c>
      <c r="F26" s="1">
        <f t="shared" si="3"/>
        <v>1</v>
      </c>
      <c r="G26" s="1" t="s">
        <v>9</v>
      </c>
      <c r="H26" s="1" t="s">
        <v>510</v>
      </c>
      <c r="I26" s="1">
        <v>1</v>
      </c>
      <c r="J26" s="1" t="s">
        <v>352</v>
      </c>
      <c r="K26" s="1" t="s">
        <v>352</v>
      </c>
      <c r="L26" s="7" t="s">
        <v>383</v>
      </c>
      <c r="M26" t="s">
        <v>90</v>
      </c>
    </row>
    <row r="27" spans="1:13">
      <c r="A27" s="1">
        <v>1</v>
      </c>
      <c r="B27" s="1">
        <v>0</v>
      </c>
      <c r="C27" s="1">
        <v>26</v>
      </c>
      <c r="D27" t="s">
        <v>80</v>
      </c>
      <c r="E27" s="1">
        <f t="shared" si="2"/>
        <v>-400</v>
      </c>
      <c r="F27" s="1">
        <f t="shared" si="3"/>
        <v>1</v>
      </c>
      <c r="G27" s="1" t="s">
        <v>9</v>
      </c>
      <c r="H27" s="1" t="s">
        <v>511</v>
      </c>
      <c r="I27" s="1">
        <v>1</v>
      </c>
      <c r="J27" s="1" t="s">
        <v>352</v>
      </c>
      <c r="K27" s="1" t="s">
        <v>352</v>
      </c>
      <c r="L27" s="7" t="s">
        <v>37</v>
      </c>
      <c r="M27" t="s">
        <v>90</v>
      </c>
    </row>
    <row r="28" spans="1:13">
      <c r="A28" s="1">
        <v>1</v>
      </c>
      <c r="B28" s="1">
        <v>0</v>
      </c>
      <c r="C28" s="1">
        <v>27</v>
      </c>
      <c r="D28" t="s">
        <v>79</v>
      </c>
      <c r="E28" s="1">
        <f t="shared" si="2"/>
        <v>400</v>
      </c>
      <c r="F28" s="1">
        <f t="shared" si="3"/>
        <v>2</v>
      </c>
      <c r="G28" s="1" t="s">
        <v>9</v>
      </c>
      <c r="H28" s="1" t="str">
        <f>IF(D28="Player","나","아바로")</f>
        <v>나</v>
      </c>
      <c r="I28" s="1">
        <v>1</v>
      </c>
      <c r="J28" s="1" t="s">
        <v>352</v>
      </c>
      <c r="K28" s="1" t="s">
        <v>352</v>
      </c>
      <c r="L28" s="7" t="s">
        <v>384</v>
      </c>
      <c r="M28" t="s">
        <v>90</v>
      </c>
    </row>
    <row r="29" spans="1:13">
      <c r="A29" s="1">
        <v>1</v>
      </c>
      <c r="B29" s="1">
        <v>0</v>
      </c>
      <c r="C29" s="1">
        <v>28</v>
      </c>
      <c r="D29" t="s">
        <v>79</v>
      </c>
      <c r="E29" s="1">
        <f t="shared" si="2"/>
        <v>400</v>
      </c>
      <c r="F29" s="1">
        <f t="shared" si="3"/>
        <v>2</v>
      </c>
      <c r="G29" s="1" t="s">
        <v>9</v>
      </c>
      <c r="H29" s="1" t="str">
        <f>IF(D29="Player","나","아바로")</f>
        <v>나</v>
      </c>
      <c r="I29" s="1">
        <v>1</v>
      </c>
      <c r="J29" s="1" t="s">
        <v>352</v>
      </c>
      <c r="K29" s="1" t="s">
        <v>352</v>
      </c>
      <c r="L29" s="7" t="s">
        <v>365</v>
      </c>
      <c r="M29" t="s">
        <v>90</v>
      </c>
    </row>
    <row r="30" spans="1:13">
      <c r="A30" s="1">
        <v>1</v>
      </c>
      <c r="B30" s="1">
        <v>0</v>
      </c>
      <c r="C30" s="1">
        <v>29</v>
      </c>
      <c r="D30" t="s">
        <v>79</v>
      </c>
      <c r="E30" s="1">
        <f t="shared" si="2"/>
        <v>400</v>
      </c>
      <c r="F30" s="1">
        <f t="shared" si="3"/>
        <v>2</v>
      </c>
      <c r="G30" s="1" t="s">
        <v>9</v>
      </c>
      <c r="H30" s="1" t="str">
        <f>IF(D30="Player","나","아바로")</f>
        <v>나</v>
      </c>
      <c r="I30" s="1">
        <v>1</v>
      </c>
      <c r="J30" s="1" t="s">
        <v>352</v>
      </c>
      <c r="K30" s="1" t="s">
        <v>352</v>
      </c>
      <c r="L30" s="7" t="s">
        <v>40</v>
      </c>
      <c r="M30" t="s">
        <v>90</v>
      </c>
    </row>
    <row r="31" spans="1:13">
      <c r="A31" s="1">
        <v>1</v>
      </c>
      <c r="B31" s="1">
        <v>0</v>
      </c>
      <c r="C31" s="1">
        <v>30</v>
      </c>
      <c r="D31" t="s">
        <v>80</v>
      </c>
      <c r="E31" s="1">
        <f t="shared" si="2"/>
        <v>-400</v>
      </c>
      <c r="F31" s="1">
        <f t="shared" si="3"/>
        <v>1</v>
      </c>
      <c r="G31" s="1" t="s">
        <v>81</v>
      </c>
      <c r="H31" s="1" t="s">
        <v>504</v>
      </c>
      <c r="I31" s="1">
        <v>1</v>
      </c>
      <c r="J31" s="1" t="s">
        <v>352</v>
      </c>
      <c r="K31" s="1" t="s">
        <v>352</v>
      </c>
      <c r="L31" s="7" t="s">
        <v>41</v>
      </c>
      <c r="M31" t="s">
        <v>90</v>
      </c>
    </row>
    <row r="32" spans="1:13">
      <c r="A32" s="1">
        <v>1</v>
      </c>
      <c r="B32" s="1">
        <v>0</v>
      </c>
      <c r="C32" s="1">
        <v>31</v>
      </c>
      <c r="D32" t="s">
        <v>80</v>
      </c>
      <c r="E32" s="1">
        <f t="shared" si="2"/>
        <v>-400</v>
      </c>
      <c r="F32" s="1">
        <f t="shared" si="3"/>
        <v>1</v>
      </c>
      <c r="G32" s="1" t="s">
        <v>9</v>
      </c>
      <c r="H32" s="1" t="s">
        <v>504</v>
      </c>
      <c r="I32" s="1">
        <v>1</v>
      </c>
      <c r="J32" s="1" t="s">
        <v>352</v>
      </c>
      <c r="K32" s="1" t="s">
        <v>352</v>
      </c>
      <c r="L32" s="6" t="s">
        <v>342</v>
      </c>
      <c r="M32" t="s">
        <v>90</v>
      </c>
    </row>
    <row r="33" spans="1:13">
      <c r="A33" s="1">
        <v>1</v>
      </c>
      <c r="B33" s="1">
        <v>0</v>
      </c>
      <c r="C33" s="1">
        <v>32</v>
      </c>
      <c r="D33" t="s">
        <v>80</v>
      </c>
      <c r="E33" s="1">
        <f t="shared" si="2"/>
        <v>-400</v>
      </c>
      <c r="F33" s="1">
        <f t="shared" si="3"/>
        <v>1</v>
      </c>
      <c r="G33" s="1" t="s">
        <v>9</v>
      </c>
      <c r="H33" s="1" t="s">
        <v>504</v>
      </c>
      <c r="I33" s="1">
        <v>1</v>
      </c>
      <c r="J33" s="1" t="s">
        <v>352</v>
      </c>
      <c r="K33" s="1" t="s">
        <v>352</v>
      </c>
      <c r="L33" s="7" t="s">
        <v>43</v>
      </c>
      <c r="M33" t="s">
        <v>90</v>
      </c>
    </row>
    <row r="34" spans="1:13">
      <c r="A34" s="1">
        <v>1</v>
      </c>
      <c r="B34" s="1">
        <v>0</v>
      </c>
      <c r="C34" s="1">
        <v>33</v>
      </c>
      <c r="D34" t="s">
        <v>79</v>
      </c>
      <c r="E34" s="1">
        <f t="shared" si="2"/>
        <v>400</v>
      </c>
      <c r="F34" s="1">
        <f t="shared" si="3"/>
        <v>2</v>
      </c>
      <c r="G34" s="1" t="s">
        <v>9</v>
      </c>
      <c r="H34" s="1" t="str">
        <f>IF(D34="Player","나","아바로")</f>
        <v>나</v>
      </c>
      <c r="I34" s="1">
        <v>1</v>
      </c>
      <c r="J34" s="1" t="s">
        <v>352</v>
      </c>
      <c r="K34" s="1" t="s">
        <v>352</v>
      </c>
      <c r="L34" s="7" t="s">
        <v>44</v>
      </c>
      <c r="M34" t="s">
        <v>90</v>
      </c>
    </row>
    <row r="35" spans="1:13">
      <c r="A35" s="1">
        <v>1</v>
      </c>
      <c r="B35" s="1">
        <v>0</v>
      </c>
      <c r="C35" s="1">
        <v>34</v>
      </c>
      <c r="D35" t="s">
        <v>80</v>
      </c>
      <c r="E35" s="1">
        <f t="shared" si="2"/>
        <v>-400</v>
      </c>
      <c r="F35" s="1">
        <f t="shared" si="3"/>
        <v>1</v>
      </c>
      <c r="G35" s="1" t="s">
        <v>9</v>
      </c>
      <c r="H35" s="1" t="str">
        <f>IF(D35="Player","나","아바로")</f>
        <v>아바로</v>
      </c>
      <c r="I35" s="1">
        <v>1</v>
      </c>
      <c r="J35" s="1" t="s">
        <v>352</v>
      </c>
      <c r="K35" s="1" t="s">
        <v>352</v>
      </c>
      <c r="L35" s="7" t="s">
        <v>45</v>
      </c>
      <c r="M35" t="s">
        <v>90</v>
      </c>
    </row>
    <row r="36" spans="1:13">
      <c r="A36" s="1">
        <v>1</v>
      </c>
      <c r="B36" s="1">
        <v>0</v>
      </c>
      <c r="C36" s="1">
        <v>35</v>
      </c>
      <c r="D36" t="s">
        <v>80</v>
      </c>
      <c r="E36" s="1">
        <f t="shared" si="2"/>
        <v>-400</v>
      </c>
      <c r="F36" s="1">
        <f t="shared" si="3"/>
        <v>1</v>
      </c>
      <c r="G36" s="1" t="s">
        <v>83</v>
      </c>
      <c r="H36" s="1" t="str">
        <f>IF(D36="Player","나","아바로")</f>
        <v>아바로</v>
      </c>
      <c r="I36" s="1">
        <v>1</v>
      </c>
      <c r="J36" s="1" t="s">
        <v>352</v>
      </c>
      <c r="K36" s="1" t="s">
        <v>352</v>
      </c>
      <c r="L36" s="7" t="s">
        <v>46</v>
      </c>
      <c r="M36" t="s">
        <v>90</v>
      </c>
    </row>
    <row r="37" spans="1:13">
      <c r="A37" s="1">
        <v>1</v>
      </c>
      <c r="B37" s="1">
        <v>0</v>
      </c>
      <c r="C37" s="1">
        <v>36</v>
      </c>
      <c r="D37" s="1" t="s">
        <v>90</v>
      </c>
      <c r="E37" s="1" t="s">
        <v>90</v>
      </c>
      <c r="F37" s="1" t="s">
        <v>90</v>
      </c>
      <c r="G37" s="1" t="s">
        <v>90</v>
      </c>
      <c r="H37" s="1" t="s">
        <v>90</v>
      </c>
      <c r="I37" s="1">
        <v>1</v>
      </c>
      <c r="J37" s="1" t="s">
        <v>352</v>
      </c>
      <c r="K37" s="1" t="s">
        <v>352</v>
      </c>
      <c r="L37" s="7" t="s">
        <v>47</v>
      </c>
      <c r="M37" t="s">
        <v>90</v>
      </c>
    </row>
    <row r="38" spans="1:13">
      <c r="A38" s="1">
        <v>1</v>
      </c>
      <c r="B38" s="1">
        <v>0</v>
      </c>
      <c r="C38" s="1">
        <v>37</v>
      </c>
      <c r="D38" s="1" t="s">
        <v>90</v>
      </c>
      <c r="E38" s="1" t="s">
        <v>90</v>
      </c>
      <c r="F38" s="1" t="s">
        <v>90</v>
      </c>
      <c r="G38" s="1" t="s">
        <v>90</v>
      </c>
      <c r="H38" s="1" t="s">
        <v>90</v>
      </c>
      <c r="I38" s="1">
        <v>1</v>
      </c>
      <c r="J38" s="1" t="s">
        <v>352</v>
      </c>
      <c r="K38" s="1" t="s">
        <v>352</v>
      </c>
      <c r="L38" s="7" t="s">
        <v>48</v>
      </c>
      <c r="M38" t="s">
        <v>90</v>
      </c>
    </row>
    <row r="39" spans="1:13">
      <c r="A39" s="1">
        <v>1</v>
      </c>
      <c r="B39" s="1">
        <v>0</v>
      </c>
      <c r="C39" s="1">
        <v>38</v>
      </c>
      <c r="D39" t="s">
        <v>80</v>
      </c>
      <c r="E39" s="1">
        <f t="shared" si="2"/>
        <v>-400</v>
      </c>
      <c r="F39" s="1">
        <f t="shared" ref="F39:F53" si="4">IF(E39=400,2,1)</f>
        <v>1</v>
      </c>
      <c r="G39" s="1" t="s">
        <v>82</v>
      </c>
      <c r="H39" s="1" t="str">
        <f t="shared" ref="H39:H53" si="5">IF(D39="Player","나","아바로")</f>
        <v>아바로</v>
      </c>
      <c r="I39" s="1">
        <v>1</v>
      </c>
      <c r="J39" s="1" t="s">
        <v>352</v>
      </c>
      <c r="K39" s="1" t="s">
        <v>352</v>
      </c>
      <c r="L39" s="7" t="s">
        <v>49</v>
      </c>
      <c r="M39" t="s">
        <v>90</v>
      </c>
    </row>
    <row r="40" spans="1:13">
      <c r="A40" s="1">
        <v>1</v>
      </c>
      <c r="B40" s="1">
        <v>0</v>
      </c>
      <c r="C40" s="1">
        <v>39</v>
      </c>
      <c r="D40" t="s">
        <v>80</v>
      </c>
      <c r="E40" s="1">
        <f t="shared" si="2"/>
        <v>-400</v>
      </c>
      <c r="F40" s="1">
        <f t="shared" si="4"/>
        <v>1</v>
      </c>
      <c r="G40" s="1" t="s">
        <v>513</v>
      </c>
      <c r="H40" s="1" t="str">
        <f t="shared" si="5"/>
        <v>아바로</v>
      </c>
      <c r="I40" s="1">
        <v>1</v>
      </c>
      <c r="J40" s="1" t="s">
        <v>352</v>
      </c>
      <c r="K40" s="1" t="s">
        <v>352</v>
      </c>
      <c r="L40" s="7" t="s">
        <v>366</v>
      </c>
      <c r="M40" t="s">
        <v>90</v>
      </c>
    </row>
    <row r="41" spans="1:13">
      <c r="A41" s="1">
        <v>1</v>
      </c>
      <c r="B41" s="1">
        <v>0</v>
      </c>
      <c r="C41" s="1">
        <v>40</v>
      </c>
      <c r="D41" t="s">
        <v>79</v>
      </c>
      <c r="E41" s="1">
        <f t="shared" si="2"/>
        <v>400</v>
      </c>
      <c r="F41" s="1">
        <f t="shared" si="4"/>
        <v>2</v>
      </c>
      <c r="G41" s="1" t="s">
        <v>512</v>
      </c>
      <c r="H41" s="1" t="str">
        <f t="shared" si="5"/>
        <v>나</v>
      </c>
      <c r="I41" s="1">
        <v>1</v>
      </c>
      <c r="J41" s="1" t="s">
        <v>352</v>
      </c>
      <c r="K41" s="1" t="s">
        <v>352</v>
      </c>
      <c r="L41" s="7" t="s">
        <v>406</v>
      </c>
      <c r="M41" t="s">
        <v>90</v>
      </c>
    </row>
    <row r="42" spans="1:13">
      <c r="A42" s="1">
        <v>1</v>
      </c>
      <c r="B42" s="1">
        <v>0</v>
      </c>
      <c r="C42" s="1">
        <v>41</v>
      </c>
      <c r="D42" t="s">
        <v>80</v>
      </c>
      <c r="E42" s="1">
        <f t="shared" si="2"/>
        <v>-400</v>
      </c>
      <c r="F42" s="1">
        <f t="shared" si="4"/>
        <v>1</v>
      </c>
      <c r="G42" s="1" t="s">
        <v>84</v>
      </c>
      <c r="H42" s="1" t="str">
        <f t="shared" si="5"/>
        <v>아바로</v>
      </c>
      <c r="I42" s="1">
        <v>1</v>
      </c>
      <c r="J42" s="1" t="s">
        <v>352</v>
      </c>
      <c r="K42" s="1" t="s">
        <v>352</v>
      </c>
      <c r="L42" s="7" t="s">
        <v>52</v>
      </c>
      <c r="M42" t="s">
        <v>90</v>
      </c>
    </row>
    <row r="43" spans="1:13">
      <c r="A43" s="1">
        <v>1</v>
      </c>
      <c r="B43" s="1">
        <v>0</v>
      </c>
      <c r="C43" s="1">
        <v>42</v>
      </c>
      <c r="D43" t="s">
        <v>80</v>
      </c>
      <c r="E43" s="1">
        <f t="shared" si="2"/>
        <v>-400</v>
      </c>
      <c r="F43" s="1">
        <f t="shared" si="4"/>
        <v>1</v>
      </c>
      <c r="G43" s="1" t="s">
        <v>84</v>
      </c>
      <c r="H43" s="1" t="str">
        <f t="shared" si="5"/>
        <v>아바로</v>
      </c>
      <c r="I43" s="1">
        <v>1</v>
      </c>
      <c r="J43" s="1" t="s">
        <v>352</v>
      </c>
      <c r="K43" s="1" t="s">
        <v>352</v>
      </c>
      <c r="L43" s="7" t="s">
        <v>53</v>
      </c>
      <c r="M43" t="s">
        <v>90</v>
      </c>
    </row>
    <row r="44" spans="1:13">
      <c r="A44" s="1">
        <v>1</v>
      </c>
      <c r="B44" s="1">
        <v>0</v>
      </c>
      <c r="C44" s="1">
        <v>43</v>
      </c>
      <c r="D44" t="s">
        <v>79</v>
      </c>
      <c r="E44" s="1">
        <f t="shared" si="2"/>
        <v>400</v>
      </c>
      <c r="F44" s="1">
        <f t="shared" si="4"/>
        <v>2</v>
      </c>
      <c r="G44" s="1" t="s">
        <v>244</v>
      </c>
      <c r="H44" s="1" t="str">
        <f t="shared" si="5"/>
        <v>나</v>
      </c>
      <c r="I44" s="1">
        <v>1</v>
      </c>
      <c r="J44" s="1" t="s">
        <v>352</v>
      </c>
      <c r="K44" s="1" t="s">
        <v>352</v>
      </c>
      <c r="L44" s="7" t="s">
        <v>385</v>
      </c>
      <c r="M44" t="s">
        <v>90</v>
      </c>
    </row>
    <row r="45" spans="1:13">
      <c r="A45" s="1">
        <v>1</v>
      </c>
      <c r="B45" s="1">
        <v>0</v>
      </c>
      <c r="C45" s="1">
        <v>44</v>
      </c>
      <c r="D45" t="s">
        <v>80</v>
      </c>
      <c r="E45" s="1">
        <f t="shared" si="2"/>
        <v>-400</v>
      </c>
      <c r="F45" s="1">
        <f t="shared" si="4"/>
        <v>1</v>
      </c>
      <c r="G45" s="1" t="s">
        <v>85</v>
      </c>
      <c r="H45" s="1" t="str">
        <f t="shared" si="5"/>
        <v>아바로</v>
      </c>
      <c r="I45" s="1">
        <v>1</v>
      </c>
      <c r="J45" s="1" t="s">
        <v>352</v>
      </c>
      <c r="K45" s="1" t="s">
        <v>352</v>
      </c>
      <c r="L45" s="7" t="s">
        <v>386</v>
      </c>
      <c r="M45" t="s">
        <v>90</v>
      </c>
    </row>
    <row r="46" spans="1:13">
      <c r="A46" s="1">
        <v>1</v>
      </c>
      <c r="B46" s="1">
        <v>0</v>
      </c>
      <c r="C46" s="1">
        <v>45</v>
      </c>
      <c r="D46" t="s">
        <v>79</v>
      </c>
      <c r="E46" s="1">
        <f t="shared" si="2"/>
        <v>400</v>
      </c>
      <c r="F46" s="1">
        <f t="shared" si="4"/>
        <v>2</v>
      </c>
      <c r="G46" s="1" t="s">
        <v>514</v>
      </c>
      <c r="H46" s="1" t="str">
        <f t="shared" si="5"/>
        <v>나</v>
      </c>
      <c r="I46" s="1">
        <v>1</v>
      </c>
      <c r="J46" s="1" t="s">
        <v>352</v>
      </c>
      <c r="K46" s="1" t="s">
        <v>352</v>
      </c>
      <c r="L46" s="7" t="s">
        <v>56</v>
      </c>
      <c r="M46" t="s">
        <v>90</v>
      </c>
    </row>
    <row r="47" spans="1:13">
      <c r="A47" s="1">
        <v>1</v>
      </c>
      <c r="B47" s="1">
        <v>0</v>
      </c>
      <c r="C47" s="1">
        <v>46</v>
      </c>
      <c r="D47" t="s">
        <v>79</v>
      </c>
      <c r="E47" s="1">
        <f t="shared" si="2"/>
        <v>400</v>
      </c>
      <c r="F47" s="1">
        <f t="shared" si="4"/>
        <v>2</v>
      </c>
      <c r="G47" s="1" t="s">
        <v>81</v>
      </c>
      <c r="H47" s="1" t="str">
        <f t="shared" si="5"/>
        <v>나</v>
      </c>
      <c r="I47" s="1">
        <v>1</v>
      </c>
      <c r="J47" s="1" t="s">
        <v>352</v>
      </c>
      <c r="K47" s="1" t="s">
        <v>352</v>
      </c>
      <c r="L47" s="7" t="s">
        <v>405</v>
      </c>
      <c r="M47" t="s">
        <v>90</v>
      </c>
    </row>
    <row r="48" spans="1:13">
      <c r="A48" s="1">
        <v>1</v>
      </c>
      <c r="B48" s="1">
        <v>0</v>
      </c>
      <c r="C48" s="1">
        <v>47</v>
      </c>
      <c r="D48" t="s">
        <v>80</v>
      </c>
      <c r="E48" s="1">
        <f t="shared" si="2"/>
        <v>-400</v>
      </c>
      <c r="F48" s="1">
        <f t="shared" si="4"/>
        <v>1</v>
      </c>
      <c r="G48" s="1" t="s">
        <v>9</v>
      </c>
      <c r="H48" s="1" t="str">
        <f t="shared" si="5"/>
        <v>아바로</v>
      </c>
      <c r="I48" s="1">
        <v>1</v>
      </c>
      <c r="J48" s="1" t="s">
        <v>352</v>
      </c>
      <c r="K48" s="1" t="s">
        <v>352</v>
      </c>
      <c r="L48" s="7" t="s">
        <v>407</v>
      </c>
      <c r="M48" t="s">
        <v>90</v>
      </c>
    </row>
    <row r="49" spans="1:13">
      <c r="A49" s="1">
        <v>1</v>
      </c>
      <c r="B49" s="1">
        <v>0</v>
      </c>
      <c r="C49" s="1">
        <v>48</v>
      </c>
      <c r="D49" t="s">
        <v>79</v>
      </c>
      <c r="E49" s="1">
        <f t="shared" si="2"/>
        <v>400</v>
      </c>
      <c r="F49" s="1">
        <f t="shared" si="4"/>
        <v>2</v>
      </c>
      <c r="G49" s="1" t="s">
        <v>83</v>
      </c>
      <c r="H49" s="1" t="str">
        <f t="shared" si="5"/>
        <v>나</v>
      </c>
      <c r="I49" s="1">
        <v>1</v>
      </c>
      <c r="J49" s="1" t="s">
        <v>565</v>
      </c>
      <c r="K49" s="1" t="s">
        <v>566</v>
      </c>
      <c r="L49" s="7" t="s">
        <v>59</v>
      </c>
      <c r="M49" t="s">
        <v>90</v>
      </c>
    </row>
    <row r="50" spans="1:13">
      <c r="A50" s="1">
        <v>1</v>
      </c>
      <c r="B50" s="1">
        <v>0</v>
      </c>
      <c r="C50" s="1">
        <v>49</v>
      </c>
      <c r="D50" t="s">
        <v>79</v>
      </c>
      <c r="E50" s="1">
        <f t="shared" si="2"/>
        <v>400</v>
      </c>
      <c r="F50" s="1">
        <f t="shared" si="4"/>
        <v>2</v>
      </c>
      <c r="G50" s="1" t="s">
        <v>515</v>
      </c>
      <c r="H50" s="1" t="str">
        <f t="shared" si="5"/>
        <v>나</v>
      </c>
      <c r="I50" s="1">
        <v>1</v>
      </c>
      <c r="J50" s="1" t="s">
        <v>352</v>
      </c>
      <c r="K50" s="1" t="s">
        <v>352</v>
      </c>
      <c r="L50" s="7" t="s">
        <v>387</v>
      </c>
      <c r="M50" t="s">
        <v>90</v>
      </c>
    </row>
    <row r="51" spans="1:13">
      <c r="A51" s="1">
        <v>1</v>
      </c>
      <c r="B51" s="1">
        <v>0</v>
      </c>
      <c r="C51" s="1">
        <v>50</v>
      </c>
      <c r="D51" t="s">
        <v>80</v>
      </c>
      <c r="E51" s="1">
        <f t="shared" si="2"/>
        <v>-400</v>
      </c>
      <c r="F51" s="1">
        <f t="shared" si="4"/>
        <v>1</v>
      </c>
      <c r="G51" s="1" t="s">
        <v>87</v>
      </c>
      <c r="H51" s="1" t="str">
        <f t="shared" si="5"/>
        <v>아바로</v>
      </c>
      <c r="I51" s="1">
        <v>1</v>
      </c>
      <c r="J51" s="1" t="s">
        <v>352</v>
      </c>
      <c r="K51" s="1" t="s">
        <v>352</v>
      </c>
      <c r="L51" s="7" t="s">
        <v>388</v>
      </c>
      <c r="M51" t="s">
        <v>90</v>
      </c>
    </row>
    <row r="52" spans="1:13">
      <c r="A52" s="1">
        <v>1</v>
      </c>
      <c r="B52" s="1">
        <v>0</v>
      </c>
      <c r="C52" s="1">
        <v>51</v>
      </c>
      <c r="D52" t="s">
        <v>79</v>
      </c>
      <c r="E52" s="1">
        <f t="shared" si="2"/>
        <v>400</v>
      </c>
      <c r="F52" s="1">
        <f t="shared" si="4"/>
        <v>2</v>
      </c>
      <c r="G52" s="1" t="s">
        <v>516</v>
      </c>
      <c r="H52" s="1" t="str">
        <f t="shared" si="5"/>
        <v>나</v>
      </c>
      <c r="I52" s="1">
        <v>1</v>
      </c>
      <c r="J52" s="1" t="s">
        <v>352</v>
      </c>
      <c r="K52" s="1" t="s">
        <v>352</v>
      </c>
      <c r="L52" s="7" t="s">
        <v>389</v>
      </c>
      <c r="M52" t="s">
        <v>90</v>
      </c>
    </row>
    <row r="53" spans="1:13">
      <c r="A53" s="1">
        <v>1</v>
      </c>
      <c r="B53" s="1">
        <v>0</v>
      </c>
      <c r="C53" s="1">
        <v>52</v>
      </c>
      <c r="D53" t="s">
        <v>80</v>
      </c>
      <c r="E53" s="1">
        <f t="shared" si="2"/>
        <v>-400</v>
      </c>
      <c r="F53" s="1">
        <f t="shared" si="4"/>
        <v>1</v>
      </c>
      <c r="G53" s="1" t="s">
        <v>84</v>
      </c>
      <c r="H53" s="1" t="str">
        <f t="shared" si="5"/>
        <v>아바로</v>
      </c>
      <c r="I53" s="1">
        <v>1</v>
      </c>
      <c r="J53" s="1" t="s">
        <v>567</v>
      </c>
      <c r="K53" s="1" t="s">
        <v>352</v>
      </c>
      <c r="L53" s="7" t="s">
        <v>408</v>
      </c>
      <c r="M53" t="s">
        <v>90</v>
      </c>
    </row>
    <row r="54" spans="1:13">
      <c r="A54" s="1">
        <v>1</v>
      </c>
      <c r="B54" s="1">
        <v>0</v>
      </c>
      <c r="C54" s="1">
        <v>53</v>
      </c>
      <c r="D54" s="1" t="s">
        <v>90</v>
      </c>
      <c r="E54" s="1" t="s">
        <v>90</v>
      </c>
      <c r="F54" s="1" t="s">
        <v>90</v>
      </c>
      <c r="G54" s="1" t="s">
        <v>90</v>
      </c>
      <c r="H54" s="1" t="s">
        <v>90</v>
      </c>
      <c r="I54" s="1">
        <v>1</v>
      </c>
      <c r="J54" s="1" t="s">
        <v>352</v>
      </c>
      <c r="K54" s="1" t="s">
        <v>352</v>
      </c>
      <c r="L54" s="7" t="s">
        <v>63</v>
      </c>
      <c r="M54" t="s">
        <v>90</v>
      </c>
    </row>
    <row r="55" spans="1:13">
      <c r="A55" s="1">
        <v>1</v>
      </c>
      <c r="B55" s="1">
        <v>0</v>
      </c>
      <c r="C55" s="1">
        <v>54</v>
      </c>
      <c r="D55" s="1" t="s">
        <v>90</v>
      </c>
      <c r="E55" s="1" t="s">
        <v>90</v>
      </c>
      <c r="F55" s="1" t="s">
        <v>90</v>
      </c>
      <c r="G55" s="1" t="s">
        <v>90</v>
      </c>
      <c r="H55" s="1" t="s">
        <v>90</v>
      </c>
      <c r="I55" s="1">
        <v>1</v>
      </c>
      <c r="J55" s="1" t="s">
        <v>352</v>
      </c>
      <c r="K55" s="1" t="s">
        <v>352</v>
      </c>
      <c r="L55" s="7" t="s">
        <v>64</v>
      </c>
      <c r="M55" t="s">
        <v>90</v>
      </c>
    </row>
    <row r="56" spans="1:13">
      <c r="A56" s="1">
        <v>1</v>
      </c>
      <c r="B56" s="1">
        <v>0</v>
      </c>
      <c r="C56" s="1">
        <v>55</v>
      </c>
      <c r="D56" t="s">
        <v>79</v>
      </c>
      <c r="E56" s="1">
        <f t="shared" si="2"/>
        <v>400</v>
      </c>
      <c r="F56" s="1">
        <f t="shared" ref="F56:F58" si="6">IF(E56=400,2,1)</f>
        <v>2</v>
      </c>
      <c r="G56" s="1" t="s">
        <v>517</v>
      </c>
      <c r="H56" s="1" t="str">
        <f>IF(D56="Player","나","아바로")</f>
        <v>나</v>
      </c>
      <c r="I56" s="1">
        <v>1</v>
      </c>
      <c r="J56" s="1" t="s">
        <v>352</v>
      </c>
      <c r="K56" s="1" t="s">
        <v>352</v>
      </c>
      <c r="L56" s="7" t="s">
        <v>65</v>
      </c>
      <c r="M56" t="s">
        <v>90</v>
      </c>
    </row>
    <row r="57" spans="1:13">
      <c r="A57" s="1">
        <v>1</v>
      </c>
      <c r="B57" s="1">
        <v>0</v>
      </c>
      <c r="C57" s="1">
        <v>56</v>
      </c>
      <c r="D57" t="s">
        <v>80</v>
      </c>
      <c r="E57" s="1">
        <f t="shared" si="2"/>
        <v>-400</v>
      </c>
      <c r="F57" s="1">
        <f t="shared" si="6"/>
        <v>1</v>
      </c>
      <c r="G57" s="1" t="s">
        <v>82</v>
      </c>
      <c r="H57" s="1" t="str">
        <f>IF(D57="Player","나","아바로")</f>
        <v>아바로</v>
      </c>
      <c r="I57" s="1">
        <v>1</v>
      </c>
      <c r="J57" s="1" t="s">
        <v>352</v>
      </c>
      <c r="K57" s="1" t="s">
        <v>352</v>
      </c>
      <c r="L57" s="7" t="s">
        <v>367</v>
      </c>
      <c r="M57" t="s">
        <v>90</v>
      </c>
    </row>
    <row r="58" spans="1:13">
      <c r="A58" s="1">
        <v>1</v>
      </c>
      <c r="B58" s="1">
        <v>0</v>
      </c>
      <c r="C58" s="1">
        <v>57</v>
      </c>
      <c r="D58" t="s">
        <v>80</v>
      </c>
      <c r="E58" s="1">
        <f t="shared" si="2"/>
        <v>-400</v>
      </c>
      <c r="F58" s="1">
        <f t="shared" si="6"/>
        <v>1</v>
      </c>
      <c r="G58" s="1" t="s">
        <v>82</v>
      </c>
      <c r="H58" s="1" t="str">
        <f>IF(D58="Player","나","아바로")</f>
        <v>아바로</v>
      </c>
      <c r="I58" s="1">
        <v>1</v>
      </c>
      <c r="J58" s="1" t="s">
        <v>352</v>
      </c>
      <c r="K58" s="1" t="s">
        <v>352</v>
      </c>
      <c r="L58" s="7" t="s">
        <v>66</v>
      </c>
      <c r="M58" t="s">
        <v>90</v>
      </c>
    </row>
    <row r="59" spans="1:13">
      <c r="A59" s="1">
        <v>1</v>
      </c>
      <c r="B59" s="1">
        <v>0</v>
      </c>
      <c r="C59" s="1">
        <v>58</v>
      </c>
      <c r="D59" s="1" t="s">
        <v>90</v>
      </c>
      <c r="E59" s="1" t="s">
        <v>90</v>
      </c>
      <c r="F59" s="1" t="s">
        <v>90</v>
      </c>
      <c r="G59" s="1" t="s">
        <v>90</v>
      </c>
      <c r="H59" s="1" t="s">
        <v>90</v>
      </c>
      <c r="I59" s="1">
        <v>1</v>
      </c>
      <c r="J59" s="1" t="s">
        <v>352</v>
      </c>
      <c r="K59" s="1" t="s">
        <v>352</v>
      </c>
      <c r="L59" s="7" t="s">
        <v>67</v>
      </c>
      <c r="M59" t="s">
        <v>90</v>
      </c>
    </row>
    <row r="60" spans="1:13">
      <c r="A60" s="1">
        <v>1</v>
      </c>
      <c r="B60" s="1">
        <v>0</v>
      </c>
      <c r="C60" s="1">
        <v>59</v>
      </c>
      <c r="D60" t="s">
        <v>80</v>
      </c>
      <c r="E60" s="1">
        <f t="shared" si="2"/>
        <v>-400</v>
      </c>
      <c r="F60" s="1">
        <f t="shared" ref="F60:F67" si="7">IF(E60=400,2,1)</f>
        <v>1</v>
      </c>
      <c r="G60" s="1" t="s">
        <v>9</v>
      </c>
      <c r="H60" s="1" t="str">
        <f t="shared" ref="H60:H67" si="8">IF(D60="Player","나","아바로")</f>
        <v>아바로</v>
      </c>
      <c r="I60" s="1">
        <v>1</v>
      </c>
      <c r="J60" s="1" t="s">
        <v>352</v>
      </c>
      <c r="K60" s="1" t="s">
        <v>352</v>
      </c>
      <c r="L60" s="7" t="s">
        <v>68</v>
      </c>
      <c r="M60" t="s">
        <v>90</v>
      </c>
    </row>
    <row r="61" spans="1:13">
      <c r="A61" s="1">
        <v>1</v>
      </c>
      <c r="B61" s="1">
        <v>0</v>
      </c>
      <c r="C61" s="1">
        <v>60</v>
      </c>
      <c r="D61" t="s">
        <v>79</v>
      </c>
      <c r="E61" s="1">
        <f t="shared" si="2"/>
        <v>400</v>
      </c>
      <c r="F61" s="1">
        <f t="shared" si="7"/>
        <v>2</v>
      </c>
      <c r="G61" s="1" t="s">
        <v>9</v>
      </c>
      <c r="H61" s="1" t="str">
        <f t="shared" si="8"/>
        <v>나</v>
      </c>
      <c r="I61" s="1">
        <v>1</v>
      </c>
      <c r="J61" s="1" t="s">
        <v>352</v>
      </c>
      <c r="K61" s="1" t="s">
        <v>352</v>
      </c>
      <c r="L61" s="7" t="s">
        <v>69</v>
      </c>
      <c r="M61" t="s">
        <v>90</v>
      </c>
    </row>
    <row r="62" spans="1:13">
      <c r="A62" s="1">
        <v>1</v>
      </c>
      <c r="B62" s="1">
        <v>0</v>
      </c>
      <c r="C62" s="1">
        <v>61</v>
      </c>
      <c r="D62" t="s">
        <v>79</v>
      </c>
      <c r="E62" s="1">
        <f t="shared" si="2"/>
        <v>400</v>
      </c>
      <c r="F62" s="1">
        <f t="shared" si="7"/>
        <v>2</v>
      </c>
      <c r="G62" s="1" t="s">
        <v>9</v>
      </c>
      <c r="H62" s="1" t="str">
        <f t="shared" si="8"/>
        <v>나</v>
      </c>
      <c r="I62" s="1">
        <v>1</v>
      </c>
      <c r="J62" s="1" t="s">
        <v>352</v>
      </c>
      <c r="K62" s="1" t="s">
        <v>352</v>
      </c>
      <c r="L62" s="7" t="s">
        <v>390</v>
      </c>
      <c r="M62" t="s">
        <v>90</v>
      </c>
    </row>
    <row r="63" spans="1:13">
      <c r="A63" s="1">
        <v>1</v>
      </c>
      <c r="B63" s="1">
        <v>0</v>
      </c>
      <c r="C63" s="1">
        <v>62</v>
      </c>
      <c r="D63" t="s">
        <v>80</v>
      </c>
      <c r="E63" s="1">
        <f t="shared" si="2"/>
        <v>-400</v>
      </c>
      <c r="F63" s="1">
        <f t="shared" si="7"/>
        <v>1</v>
      </c>
      <c r="G63" s="1" t="s">
        <v>82</v>
      </c>
      <c r="H63" s="1" t="str">
        <f t="shared" si="8"/>
        <v>아바로</v>
      </c>
      <c r="I63" s="1">
        <v>1</v>
      </c>
      <c r="J63" s="1" t="s">
        <v>352</v>
      </c>
      <c r="K63" s="1" t="s">
        <v>352</v>
      </c>
      <c r="L63" s="7" t="s">
        <v>71</v>
      </c>
      <c r="M63" t="s">
        <v>90</v>
      </c>
    </row>
    <row r="64" spans="1:13">
      <c r="A64" s="1">
        <v>1</v>
      </c>
      <c r="B64" s="1">
        <v>0</v>
      </c>
      <c r="C64" s="1">
        <v>63</v>
      </c>
      <c r="D64" t="s">
        <v>79</v>
      </c>
      <c r="E64" s="1">
        <f t="shared" si="2"/>
        <v>400</v>
      </c>
      <c r="F64" s="1">
        <f t="shared" si="7"/>
        <v>2</v>
      </c>
      <c r="G64" s="1" t="s">
        <v>9</v>
      </c>
      <c r="H64" s="1" t="str">
        <f t="shared" si="8"/>
        <v>나</v>
      </c>
      <c r="I64" s="1">
        <v>1</v>
      </c>
      <c r="J64" s="1" t="s">
        <v>352</v>
      </c>
      <c r="K64" s="1" t="s">
        <v>352</v>
      </c>
      <c r="L64" s="7" t="s">
        <v>391</v>
      </c>
      <c r="M64" t="s">
        <v>90</v>
      </c>
    </row>
    <row r="65" spans="1:13">
      <c r="A65" s="1">
        <v>1</v>
      </c>
      <c r="B65" s="1">
        <v>0</v>
      </c>
      <c r="C65" s="1">
        <v>64</v>
      </c>
      <c r="D65" t="s">
        <v>80</v>
      </c>
      <c r="E65" s="1">
        <f t="shared" si="2"/>
        <v>-400</v>
      </c>
      <c r="F65" s="1">
        <f t="shared" si="7"/>
        <v>1</v>
      </c>
      <c r="G65" s="1" t="s">
        <v>9</v>
      </c>
      <c r="H65" s="1" t="str">
        <f t="shared" si="8"/>
        <v>아바로</v>
      </c>
      <c r="I65" s="1">
        <v>1</v>
      </c>
      <c r="J65" s="1" t="s">
        <v>352</v>
      </c>
      <c r="K65" s="1" t="s">
        <v>352</v>
      </c>
      <c r="L65" s="7" t="s">
        <v>409</v>
      </c>
      <c r="M65" t="s">
        <v>90</v>
      </c>
    </row>
    <row r="66" spans="1:13">
      <c r="A66" s="1">
        <v>1</v>
      </c>
      <c r="B66" s="1">
        <v>0</v>
      </c>
      <c r="C66" s="1">
        <v>65</v>
      </c>
      <c r="D66" t="s">
        <v>80</v>
      </c>
      <c r="E66" s="1">
        <f t="shared" si="2"/>
        <v>-400</v>
      </c>
      <c r="F66" s="1">
        <f t="shared" si="7"/>
        <v>1</v>
      </c>
      <c r="G66" s="1" t="s">
        <v>9</v>
      </c>
      <c r="H66" s="1" t="str">
        <f t="shared" si="8"/>
        <v>아바로</v>
      </c>
      <c r="I66" s="1">
        <v>1</v>
      </c>
      <c r="J66" s="1" t="s">
        <v>352</v>
      </c>
      <c r="K66" s="1" t="s">
        <v>352</v>
      </c>
      <c r="L66" s="7" t="s">
        <v>73</v>
      </c>
      <c r="M66" t="s">
        <v>90</v>
      </c>
    </row>
    <row r="67" spans="1:13">
      <c r="A67" s="1">
        <v>1</v>
      </c>
      <c r="B67" s="1">
        <v>0</v>
      </c>
      <c r="C67" s="1">
        <v>66</v>
      </c>
      <c r="D67" t="s">
        <v>80</v>
      </c>
      <c r="E67" s="1">
        <f t="shared" si="2"/>
        <v>-400</v>
      </c>
      <c r="F67" s="1">
        <f t="shared" si="7"/>
        <v>1</v>
      </c>
      <c r="G67" s="1" t="s">
        <v>518</v>
      </c>
      <c r="H67" s="1" t="str">
        <f t="shared" si="8"/>
        <v>아바로</v>
      </c>
      <c r="I67" s="1">
        <v>1</v>
      </c>
      <c r="J67" s="1" t="s">
        <v>352</v>
      </c>
      <c r="K67" s="1" t="s">
        <v>352</v>
      </c>
      <c r="L67" s="7" t="s">
        <v>392</v>
      </c>
      <c r="M67" t="s">
        <v>90</v>
      </c>
    </row>
    <row r="68" spans="1:13">
      <c r="A68" s="1">
        <v>1</v>
      </c>
      <c r="B68" s="1">
        <v>0</v>
      </c>
      <c r="C68" s="1">
        <v>67</v>
      </c>
      <c r="D68" s="1" t="s">
        <v>90</v>
      </c>
      <c r="E68" s="1" t="s">
        <v>90</v>
      </c>
      <c r="F68" s="1" t="s">
        <v>90</v>
      </c>
      <c r="G68" s="1" t="s">
        <v>90</v>
      </c>
      <c r="H68" s="1" t="s">
        <v>90</v>
      </c>
      <c r="I68" s="1">
        <v>1</v>
      </c>
      <c r="J68" s="1" t="s">
        <v>352</v>
      </c>
      <c r="K68" s="1" t="s">
        <v>352</v>
      </c>
      <c r="L68" s="7" t="s">
        <v>75</v>
      </c>
      <c r="M68" t="s">
        <v>90</v>
      </c>
    </row>
    <row r="69" spans="1:13">
      <c r="A69" s="1">
        <v>1</v>
      </c>
      <c r="B69" s="1">
        <v>0</v>
      </c>
      <c r="C69" s="1">
        <v>68</v>
      </c>
      <c r="D69" s="1" t="s">
        <v>90</v>
      </c>
      <c r="E69" s="1" t="s">
        <v>90</v>
      </c>
      <c r="F69" s="1" t="s">
        <v>90</v>
      </c>
      <c r="G69" s="1" t="s">
        <v>90</v>
      </c>
      <c r="H69" s="1" t="s">
        <v>90</v>
      </c>
      <c r="I69" s="1">
        <v>1</v>
      </c>
      <c r="J69" s="1" t="s">
        <v>352</v>
      </c>
      <c r="K69" s="1" t="s">
        <v>352</v>
      </c>
      <c r="L69" s="7" t="s">
        <v>76</v>
      </c>
      <c r="M69" t="s">
        <v>90</v>
      </c>
    </row>
    <row r="70" spans="1:13">
      <c r="A70" s="1">
        <v>1</v>
      </c>
      <c r="B70" s="1">
        <v>0</v>
      </c>
      <c r="C70" s="1">
        <v>69</v>
      </c>
      <c r="D70" t="s">
        <v>79</v>
      </c>
      <c r="E70" s="1">
        <f t="shared" ref="E70" si="9">IF(D70="Abaro",-400,400)</f>
        <v>400</v>
      </c>
      <c r="F70" s="1">
        <f>IF(E70=400,2,1)</f>
        <v>2</v>
      </c>
      <c r="G70" s="1" t="s">
        <v>9</v>
      </c>
      <c r="H70" s="1" t="str">
        <f>IF(D70="Player","나","아바로")</f>
        <v>나</v>
      </c>
      <c r="I70" s="1">
        <v>1</v>
      </c>
      <c r="J70" s="1" t="s">
        <v>352</v>
      </c>
      <c r="K70" s="1" t="s">
        <v>353</v>
      </c>
      <c r="L70" s="7" t="s">
        <v>77</v>
      </c>
      <c r="M70" t="s">
        <v>90</v>
      </c>
    </row>
    <row r="71" spans="1:13">
      <c r="A71" s="1">
        <v>1</v>
      </c>
      <c r="B71" s="1">
        <v>0</v>
      </c>
      <c r="C71" s="1">
        <v>70</v>
      </c>
      <c r="D71" s="1" t="s">
        <v>90</v>
      </c>
      <c r="E71" s="1" t="s">
        <v>90</v>
      </c>
      <c r="F71" s="1" t="s">
        <v>90</v>
      </c>
      <c r="G71" s="1" t="s">
        <v>90</v>
      </c>
      <c r="H71" s="1" t="s">
        <v>90</v>
      </c>
      <c r="I71" s="1">
        <v>1</v>
      </c>
      <c r="J71" s="1" t="s">
        <v>355</v>
      </c>
      <c r="K71" s="1" t="s">
        <v>359</v>
      </c>
      <c r="L71" s="7" t="s">
        <v>78</v>
      </c>
      <c r="M71" t="s">
        <v>90</v>
      </c>
    </row>
    <row r="72" spans="1:13">
      <c r="A72" s="1">
        <v>1</v>
      </c>
      <c r="B72" s="1">
        <v>1</v>
      </c>
      <c r="C72" s="1">
        <v>1</v>
      </c>
      <c r="D72" t="s">
        <v>80</v>
      </c>
      <c r="E72" s="1">
        <f t="shared" ref="E72" si="10">IF(D72="Abaro",-400,400)</f>
        <v>-400</v>
      </c>
      <c r="F72" s="1">
        <f t="shared" ref="F72:F89" si="11">IF(E72=400,2,1)</f>
        <v>1</v>
      </c>
      <c r="G72" s="1" t="s">
        <v>9</v>
      </c>
      <c r="H72" s="1" t="str">
        <f t="shared" ref="H72:H89" si="12">IF(D72="Player","나","아바로")</f>
        <v>아바로</v>
      </c>
      <c r="I72" s="1">
        <v>1</v>
      </c>
      <c r="J72" s="1" t="s">
        <v>354</v>
      </c>
      <c r="K72" s="1" t="s">
        <v>360</v>
      </c>
      <c r="L72" s="6" t="s">
        <v>410</v>
      </c>
      <c r="M72" t="s">
        <v>90</v>
      </c>
    </row>
    <row r="73" spans="1:13">
      <c r="A73" s="1">
        <v>1</v>
      </c>
      <c r="B73" s="1">
        <v>1</v>
      </c>
      <c r="C73" s="1">
        <v>2</v>
      </c>
      <c r="D73" t="s">
        <v>80</v>
      </c>
      <c r="E73" s="1">
        <f t="shared" ref="E73:E133" si="13">IF(D73="Abaro",-400,400)</f>
        <v>-400</v>
      </c>
      <c r="F73" s="1">
        <f t="shared" si="11"/>
        <v>1</v>
      </c>
      <c r="G73" s="1" t="s">
        <v>9</v>
      </c>
      <c r="H73" s="1" t="str">
        <f t="shared" si="12"/>
        <v>아바로</v>
      </c>
      <c r="I73" s="1">
        <v>1</v>
      </c>
      <c r="J73" s="1" t="s">
        <v>90</v>
      </c>
      <c r="K73" s="1" t="s">
        <v>90</v>
      </c>
      <c r="L73" s="6" t="s">
        <v>411</v>
      </c>
      <c r="M73" t="s">
        <v>90</v>
      </c>
    </row>
    <row r="74" spans="1:13">
      <c r="A74" s="1">
        <v>1</v>
      </c>
      <c r="B74" s="1">
        <v>1</v>
      </c>
      <c r="C74" s="1">
        <v>3</v>
      </c>
      <c r="D74" t="s">
        <v>79</v>
      </c>
      <c r="E74" s="1">
        <f t="shared" si="13"/>
        <v>400</v>
      </c>
      <c r="F74" s="1">
        <f t="shared" si="11"/>
        <v>2</v>
      </c>
      <c r="G74" s="1" t="s">
        <v>9</v>
      </c>
      <c r="H74" s="1" t="str">
        <f t="shared" si="12"/>
        <v>나</v>
      </c>
      <c r="I74" s="1">
        <v>1</v>
      </c>
      <c r="J74" s="1" t="s">
        <v>352</v>
      </c>
      <c r="K74" s="1" t="s">
        <v>352</v>
      </c>
      <c r="L74" s="7" t="s">
        <v>97</v>
      </c>
      <c r="M74" t="s">
        <v>90</v>
      </c>
    </row>
    <row r="75" spans="1:13">
      <c r="A75" s="1">
        <v>1</v>
      </c>
      <c r="B75" s="1">
        <v>1</v>
      </c>
      <c r="C75" s="1">
        <v>4</v>
      </c>
      <c r="D75" t="s">
        <v>80</v>
      </c>
      <c r="E75" s="1">
        <f t="shared" ref="E75" si="14">IF(D75="Abaro",-400,400)</f>
        <v>-400</v>
      </c>
      <c r="F75" s="1">
        <f t="shared" si="11"/>
        <v>1</v>
      </c>
      <c r="G75" s="1" t="s">
        <v>9</v>
      </c>
      <c r="H75" s="1" t="str">
        <f t="shared" si="12"/>
        <v>아바로</v>
      </c>
      <c r="I75" s="1">
        <v>1</v>
      </c>
      <c r="J75" s="1" t="s">
        <v>90</v>
      </c>
      <c r="K75" s="1" t="s">
        <v>90</v>
      </c>
      <c r="L75" s="7" t="s">
        <v>413</v>
      </c>
      <c r="M75" t="s">
        <v>90</v>
      </c>
    </row>
    <row r="76" spans="1:13">
      <c r="A76" s="1">
        <v>1</v>
      </c>
      <c r="B76" s="1">
        <v>1</v>
      </c>
      <c r="C76" s="1">
        <v>5</v>
      </c>
      <c r="D76" t="s">
        <v>80</v>
      </c>
      <c r="E76" s="1">
        <f t="shared" si="13"/>
        <v>-400</v>
      </c>
      <c r="F76" s="1">
        <f t="shared" si="11"/>
        <v>1</v>
      </c>
      <c r="G76" s="1" t="s">
        <v>9</v>
      </c>
      <c r="H76" s="1" t="str">
        <f t="shared" si="12"/>
        <v>아바로</v>
      </c>
      <c r="I76" s="1">
        <v>1</v>
      </c>
      <c r="J76" s="1" t="s">
        <v>352</v>
      </c>
      <c r="K76" s="1" t="s">
        <v>352</v>
      </c>
      <c r="L76" s="7" t="s">
        <v>412</v>
      </c>
      <c r="M76" t="s">
        <v>90</v>
      </c>
    </row>
    <row r="77" spans="1:13">
      <c r="A77" s="1">
        <v>1</v>
      </c>
      <c r="B77" s="1">
        <v>1</v>
      </c>
      <c r="C77" s="1">
        <v>6</v>
      </c>
      <c r="D77" t="s">
        <v>79</v>
      </c>
      <c r="E77" s="1">
        <f t="shared" si="13"/>
        <v>400</v>
      </c>
      <c r="F77" s="1">
        <f t="shared" si="11"/>
        <v>2</v>
      </c>
      <c r="G77" s="1" t="s">
        <v>9</v>
      </c>
      <c r="H77" s="1" t="str">
        <f t="shared" si="12"/>
        <v>나</v>
      </c>
      <c r="I77" s="1">
        <v>1</v>
      </c>
      <c r="J77" s="1" t="s">
        <v>352</v>
      </c>
      <c r="K77" s="1" t="s">
        <v>352</v>
      </c>
      <c r="L77" s="7" t="s">
        <v>99</v>
      </c>
      <c r="M77" t="s">
        <v>90</v>
      </c>
    </row>
    <row r="78" spans="1:13">
      <c r="A78" s="1">
        <v>1</v>
      </c>
      <c r="B78" s="1">
        <v>1</v>
      </c>
      <c r="C78" s="1">
        <v>7</v>
      </c>
      <c r="D78" t="s">
        <v>80</v>
      </c>
      <c r="E78" s="1">
        <f t="shared" si="13"/>
        <v>-400</v>
      </c>
      <c r="F78" s="1">
        <f t="shared" si="11"/>
        <v>1</v>
      </c>
      <c r="G78" s="1" t="s">
        <v>9</v>
      </c>
      <c r="H78" s="1" t="str">
        <f t="shared" si="12"/>
        <v>아바로</v>
      </c>
      <c r="I78" s="1">
        <v>1</v>
      </c>
      <c r="J78" s="1" t="s">
        <v>352</v>
      </c>
      <c r="K78" s="1" t="s">
        <v>352</v>
      </c>
      <c r="L78" s="7" t="s">
        <v>100</v>
      </c>
      <c r="M78" t="s">
        <v>90</v>
      </c>
    </row>
    <row r="79" spans="1:13">
      <c r="A79" s="1">
        <v>1</v>
      </c>
      <c r="B79" s="1">
        <v>1</v>
      </c>
      <c r="C79" s="1">
        <v>8</v>
      </c>
      <c r="D79" t="s">
        <v>79</v>
      </c>
      <c r="E79" s="1">
        <f t="shared" si="13"/>
        <v>400</v>
      </c>
      <c r="F79" s="1">
        <f t="shared" si="11"/>
        <v>2</v>
      </c>
      <c r="G79" s="1" t="s">
        <v>9</v>
      </c>
      <c r="H79" s="1" t="str">
        <f t="shared" si="12"/>
        <v>나</v>
      </c>
      <c r="I79" s="1">
        <v>1</v>
      </c>
      <c r="J79" s="1" t="s">
        <v>352</v>
      </c>
      <c r="K79" s="1" t="s">
        <v>352</v>
      </c>
      <c r="L79" s="7" t="s">
        <v>101</v>
      </c>
      <c r="M79" t="s">
        <v>90</v>
      </c>
    </row>
    <row r="80" spans="1:13">
      <c r="A80" s="1">
        <v>1</v>
      </c>
      <c r="B80" s="1">
        <v>1</v>
      </c>
      <c r="C80" s="1">
        <v>9</v>
      </c>
      <c r="D80" t="s">
        <v>80</v>
      </c>
      <c r="E80" s="1">
        <f t="shared" si="13"/>
        <v>-400</v>
      </c>
      <c r="F80" s="1">
        <f t="shared" si="11"/>
        <v>1</v>
      </c>
      <c r="G80" s="1" t="s">
        <v>81</v>
      </c>
      <c r="H80" s="1" t="str">
        <f t="shared" si="12"/>
        <v>아바로</v>
      </c>
      <c r="I80" s="1">
        <v>1</v>
      </c>
      <c r="J80" s="1" t="s">
        <v>352</v>
      </c>
      <c r="K80" s="1" t="s">
        <v>352</v>
      </c>
      <c r="L80" s="7" t="s">
        <v>102</v>
      </c>
      <c r="M80" t="s">
        <v>90</v>
      </c>
    </row>
    <row r="81" spans="1:13">
      <c r="A81" s="1">
        <v>1</v>
      </c>
      <c r="B81" s="1">
        <v>1</v>
      </c>
      <c r="C81" s="1">
        <v>10</v>
      </c>
      <c r="D81" t="s">
        <v>79</v>
      </c>
      <c r="E81" s="1">
        <f t="shared" si="13"/>
        <v>400</v>
      </c>
      <c r="F81" s="1">
        <f t="shared" si="11"/>
        <v>2</v>
      </c>
      <c r="G81" s="1" t="s">
        <v>520</v>
      </c>
      <c r="H81" s="1" t="str">
        <f t="shared" si="12"/>
        <v>나</v>
      </c>
      <c r="I81" s="1">
        <v>1</v>
      </c>
      <c r="J81" s="1" t="s">
        <v>352</v>
      </c>
      <c r="K81" s="1" t="s">
        <v>352</v>
      </c>
      <c r="L81" s="7" t="s">
        <v>103</v>
      </c>
      <c r="M81" t="s">
        <v>90</v>
      </c>
    </row>
    <row r="82" spans="1:13">
      <c r="A82" s="1">
        <v>1</v>
      </c>
      <c r="B82" s="1">
        <v>1</v>
      </c>
      <c r="C82" s="1">
        <v>11</v>
      </c>
      <c r="D82" t="s">
        <v>80</v>
      </c>
      <c r="E82" s="1">
        <f t="shared" si="13"/>
        <v>-400</v>
      </c>
      <c r="F82" s="1">
        <f t="shared" si="11"/>
        <v>1</v>
      </c>
      <c r="G82" s="1" t="s">
        <v>519</v>
      </c>
      <c r="H82" s="1" t="str">
        <f t="shared" si="12"/>
        <v>아바로</v>
      </c>
      <c r="I82" s="1">
        <v>1</v>
      </c>
      <c r="J82" s="1" t="s">
        <v>352</v>
      </c>
      <c r="K82" s="1" t="s">
        <v>352</v>
      </c>
      <c r="L82" s="7" t="s">
        <v>104</v>
      </c>
      <c r="M82" t="s">
        <v>90</v>
      </c>
    </row>
    <row r="83" spans="1:13">
      <c r="A83" s="1">
        <v>1</v>
      </c>
      <c r="B83" s="1">
        <v>1</v>
      </c>
      <c r="C83" s="1">
        <v>12</v>
      </c>
      <c r="D83" t="s">
        <v>79</v>
      </c>
      <c r="E83" s="1">
        <f t="shared" si="13"/>
        <v>400</v>
      </c>
      <c r="F83" s="1">
        <f t="shared" si="11"/>
        <v>2</v>
      </c>
      <c r="G83" s="1" t="s">
        <v>521</v>
      </c>
      <c r="H83" s="1" t="str">
        <f t="shared" si="12"/>
        <v>나</v>
      </c>
      <c r="I83" s="1">
        <v>1</v>
      </c>
      <c r="J83" s="1" t="s">
        <v>352</v>
      </c>
      <c r="K83" s="1" t="s">
        <v>352</v>
      </c>
      <c r="L83" s="7" t="s">
        <v>105</v>
      </c>
      <c r="M83" t="s">
        <v>90</v>
      </c>
    </row>
    <row r="84" spans="1:13">
      <c r="A84" s="1">
        <v>1</v>
      </c>
      <c r="B84" s="1">
        <v>1</v>
      </c>
      <c r="C84" s="1">
        <v>13</v>
      </c>
      <c r="D84" t="s">
        <v>80</v>
      </c>
      <c r="E84" s="1">
        <f t="shared" si="13"/>
        <v>-400</v>
      </c>
      <c r="F84" s="1">
        <f t="shared" si="11"/>
        <v>1</v>
      </c>
      <c r="G84" s="1" t="s">
        <v>81</v>
      </c>
      <c r="H84" s="1" t="str">
        <f t="shared" si="12"/>
        <v>아바로</v>
      </c>
      <c r="I84" s="1">
        <v>1</v>
      </c>
      <c r="J84" s="1" t="s">
        <v>352</v>
      </c>
      <c r="K84" s="1" t="s">
        <v>352</v>
      </c>
      <c r="L84" s="7" t="s">
        <v>106</v>
      </c>
      <c r="M84" t="s">
        <v>90</v>
      </c>
    </row>
    <row r="85" spans="1:13">
      <c r="A85" s="1">
        <v>1</v>
      </c>
      <c r="B85" s="1">
        <v>1</v>
      </c>
      <c r="C85" s="1">
        <v>14</v>
      </c>
      <c r="D85" t="s">
        <v>79</v>
      </c>
      <c r="E85" s="1">
        <f t="shared" si="13"/>
        <v>400</v>
      </c>
      <c r="F85" s="1">
        <f t="shared" si="11"/>
        <v>2</v>
      </c>
      <c r="G85" s="1" t="s">
        <v>81</v>
      </c>
      <c r="H85" s="1" t="str">
        <f t="shared" si="12"/>
        <v>나</v>
      </c>
      <c r="I85" s="1">
        <v>1</v>
      </c>
      <c r="J85" s="1" t="s">
        <v>352</v>
      </c>
      <c r="K85" s="1" t="s">
        <v>352</v>
      </c>
      <c r="L85" s="7" t="s">
        <v>107</v>
      </c>
      <c r="M85" t="s">
        <v>90</v>
      </c>
    </row>
    <row r="86" spans="1:13">
      <c r="A86" s="1">
        <v>1</v>
      </c>
      <c r="B86" s="1">
        <v>1</v>
      </c>
      <c r="C86" s="1">
        <v>15</v>
      </c>
      <c r="D86" t="s">
        <v>80</v>
      </c>
      <c r="E86" s="1">
        <f t="shared" si="13"/>
        <v>-400</v>
      </c>
      <c r="F86" s="1">
        <f t="shared" si="11"/>
        <v>1</v>
      </c>
      <c r="G86" s="1" t="s">
        <v>9</v>
      </c>
      <c r="H86" s="1" t="str">
        <f t="shared" si="12"/>
        <v>아바로</v>
      </c>
      <c r="I86" s="1">
        <v>1</v>
      </c>
      <c r="J86" s="1" t="s">
        <v>352</v>
      </c>
      <c r="K86" s="1" t="s">
        <v>352</v>
      </c>
      <c r="L86" s="7" t="s">
        <v>108</v>
      </c>
      <c r="M86" t="s">
        <v>90</v>
      </c>
    </row>
    <row r="87" spans="1:13">
      <c r="A87" s="1">
        <v>1</v>
      </c>
      <c r="B87" s="1">
        <v>1</v>
      </c>
      <c r="C87" s="1">
        <v>16</v>
      </c>
      <c r="D87" t="s">
        <v>80</v>
      </c>
      <c r="E87" s="1">
        <f t="shared" si="13"/>
        <v>-400</v>
      </c>
      <c r="F87" s="1">
        <f t="shared" si="11"/>
        <v>1</v>
      </c>
      <c r="G87" s="1" t="s">
        <v>9</v>
      </c>
      <c r="H87" s="1" t="str">
        <f t="shared" si="12"/>
        <v>아바로</v>
      </c>
      <c r="I87" s="1">
        <v>1</v>
      </c>
      <c r="J87" s="1" t="s">
        <v>352</v>
      </c>
      <c r="K87" s="1" t="s">
        <v>352</v>
      </c>
      <c r="L87" s="7" t="s">
        <v>109</v>
      </c>
      <c r="M87" t="s">
        <v>90</v>
      </c>
    </row>
    <row r="88" spans="1:13">
      <c r="A88" s="1">
        <v>1</v>
      </c>
      <c r="B88" s="1">
        <v>1</v>
      </c>
      <c r="C88" s="1">
        <v>17</v>
      </c>
      <c r="D88" t="s">
        <v>80</v>
      </c>
      <c r="E88" s="1">
        <f t="shared" si="13"/>
        <v>-400</v>
      </c>
      <c r="F88" s="1">
        <f t="shared" si="11"/>
        <v>1</v>
      </c>
      <c r="G88" s="1" t="s">
        <v>9</v>
      </c>
      <c r="H88" s="1" t="str">
        <f t="shared" si="12"/>
        <v>아바로</v>
      </c>
      <c r="I88" s="1">
        <v>1</v>
      </c>
      <c r="J88" s="1" t="s">
        <v>352</v>
      </c>
      <c r="K88" s="1" t="s">
        <v>352</v>
      </c>
      <c r="L88" s="7" t="s">
        <v>110</v>
      </c>
      <c r="M88" t="s">
        <v>90</v>
      </c>
    </row>
    <row r="89" spans="1:13">
      <c r="A89" s="1">
        <v>1</v>
      </c>
      <c r="B89" s="1">
        <v>1</v>
      </c>
      <c r="C89" s="1">
        <v>18</v>
      </c>
      <c r="D89" t="s">
        <v>79</v>
      </c>
      <c r="E89" s="1">
        <f t="shared" si="13"/>
        <v>400</v>
      </c>
      <c r="F89" s="1">
        <f t="shared" si="11"/>
        <v>2</v>
      </c>
      <c r="G89" s="1" t="s">
        <v>83</v>
      </c>
      <c r="H89" s="1" t="str">
        <f t="shared" si="12"/>
        <v>나</v>
      </c>
      <c r="I89" s="1">
        <v>1</v>
      </c>
      <c r="J89" s="1" t="s">
        <v>352</v>
      </c>
      <c r="K89" s="1" t="s">
        <v>353</v>
      </c>
      <c r="L89" s="7" t="s">
        <v>111</v>
      </c>
      <c r="M89" t="s">
        <v>90</v>
      </c>
    </row>
    <row r="90" spans="1:13">
      <c r="A90" s="1">
        <v>1</v>
      </c>
      <c r="B90" s="1">
        <v>1</v>
      </c>
      <c r="C90" s="1">
        <v>19</v>
      </c>
      <c r="D90" s="1" t="s">
        <v>90</v>
      </c>
      <c r="E90" s="1" t="s">
        <v>90</v>
      </c>
      <c r="F90" s="1" t="s">
        <v>90</v>
      </c>
      <c r="G90" s="1" t="s">
        <v>90</v>
      </c>
      <c r="H90" s="1" t="s">
        <v>90</v>
      </c>
      <c r="I90" s="1">
        <v>1</v>
      </c>
      <c r="J90" s="1" t="s">
        <v>570</v>
      </c>
      <c r="K90" s="1" t="s">
        <v>360</v>
      </c>
      <c r="L90" s="7" t="s">
        <v>112</v>
      </c>
      <c r="M90" t="s">
        <v>90</v>
      </c>
    </row>
    <row r="91" spans="1:13">
      <c r="A91" s="1">
        <v>2</v>
      </c>
      <c r="B91" s="1">
        <v>0</v>
      </c>
      <c r="C91" s="1">
        <v>1</v>
      </c>
      <c r="D91" s="1" t="s">
        <v>90</v>
      </c>
      <c r="E91" s="1" t="s">
        <v>90</v>
      </c>
      <c r="F91" s="1" t="s">
        <v>90</v>
      </c>
      <c r="G91" s="1" t="s">
        <v>90</v>
      </c>
      <c r="H91" s="1" t="s">
        <v>90</v>
      </c>
      <c r="I91" s="1">
        <v>1</v>
      </c>
      <c r="J91" s="1" t="s">
        <v>354</v>
      </c>
      <c r="K91" s="1" t="s">
        <v>539</v>
      </c>
      <c r="L91" s="7" t="s">
        <v>113</v>
      </c>
      <c r="M91" t="s">
        <v>90</v>
      </c>
    </row>
    <row r="92" spans="1:13">
      <c r="A92" s="1">
        <v>2</v>
      </c>
      <c r="B92" s="1">
        <v>0</v>
      </c>
      <c r="C92" s="1">
        <v>2</v>
      </c>
      <c r="D92" t="s">
        <v>568</v>
      </c>
      <c r="E92" s="1">
        <f t="shared" si="13"/>
        <v>400</v>
      </c>
      <c r="F92" s="1">
        <f t="shared" ref="F92:F93" si="15">IF(E92=400,2,1)</f>
        <v>2</v>
      </c>
      <c r="G92" s="1" t="s">
        <v>128</v>
      </c>
      <c r="H92" s="1" t="s">
        <v>451</v>
      </c>
      <c r="I92" s="1">
        <v>1</v>
      </c>
      <c r="J92" s="1" t="s">
        <v>353</v>
      </c>
      <c r="K92" s="1" t="s">
        <v>353</v>
      </c>
      <c r="L92" s="7" t="s">
        <v>393</v>
      </c>
      <c r="M92" t="s">
        <v>90</v>
      </c>
    </row>
    <row r="93" spans="1:13">
      <c r="A93" s="1">
        <v>2</v>
      </c>
      <c r="B93" s="1">
        <v>0</v>
      </c>
      <c r="C93" s="1">
        <v>3</v>
      </c>
      <c r="D93" t="s">
        <v>569</v>
      </c>
      <c r="E93" s="1">
        <f t="shared" si="13"/>
        <v>400</v>
      </c>
      <c r="F93" s="1">
        <f t="shared" si="15"/>
        <v>2</v>
      </c>
      <c r="G93" s="1" t="s">
        <v>128</v>
      </c>
      <c r="H93" s="1" t="s">
        <v>453</v>
      </c>
      <c r="I93" s="1">
        <v>1</v>
      </c>
      <c r="J93" s="1" t="s">
        <v>352</v>
      </c>
      <c r="K93" s="1" t="s">
        <v>352</v>
      </c>
      <c r="L93" s="7" t="s">
        <v>115</v>
      </c>
      <c r="M93" t="s">
        <v>90</v>
      </c>
    </row>
    <row r="94" spans="1:13">
      <c r="A94" s="1">
        <v>2</v>
      </c>
      <c r="B94" s="1">
        <v>0</v>
      </c>
      <c r="C94" s="1">
        <v>4</v>
      </c>
      <c r="D94" s="1" t="s">
        <v>90</v>
      </c>
      <c r="E94" s="1" t="s">
        <v>90</v>
      </c>
      <c r="F94" s="1" t="s">
        <v>90</v>
      </c>
      <c r="G94" s="1" t="s">
        <v>90</v>
      </c>
      <c r="H94" s="1" t="s">
        <v>90</v>
      </c>
      <c r="I94" s="1">
        <v>1</v>
      </c>
      <c r="J94" s="1" t="s">
        <v>352</v>
      </c>
      <c r="K94" s="1" t="s">
        <v>352</v>
      </c>
      <c r="L94" s="7" t="s">
        <v>116</v>
      </c>
      <c r="M94" t="s">
        <v>90</v>
      </c>
    </row>
    <row r="95" spans="1:13">
      <c r="A95" s="1">
        <v>2</v>
      </c>
      <c r="B95" s="1">
        <v>0</v>
      </c>
      <c r="C95" s="1">
        <v>5</v>
      </c>
      <c r="D95" t="s">
        <v>569</v>
      </c>
      <c r="E95" s="1">
        <f t="shared" si="13"/>
        <v>400</v>
      </c>
      <c r="F95" s="1">
        <f t="shared" ref="F95:F105" si="16">IF(E95=400,2,1)</f>
        <v>2</v>
      </c>
      <c r="G95" s="1" t="s">
        <v>129</v>
      </c>
      <c r="H95" s="1" t="s">
        <v>522</v>
      </c>
      <c r="I95" s="1">
        <v>1</v>
      </c>
      <c r="J95" s="1" t="s">
        <v>352</v>
      </c>
      <c r="K95" s="1" t="s">
        <v>352</v>
      </c>
      <c r="L95" s="7" t="s">
        <v>394</v>
      </c>
      <c r="M95" t="s">
        <v>90</v>
      </c>
    </row>
    <row r="96" spans="1:13">
      <c r="A96" s="1">
        <v>2</v>
      </c>
      <c r="B96" s="1">
        <v>0</v>
      </c>
      <c r="C96" s="1">
        <v>6</v>
      </c>
      <c r="D96" t="s">
        <v>568</v>
      </c>
      <c r="E96" s="1">
        <f t="shared" si="13"/>
        <v>400</v>
      </c>
      <c r="F96" s="1">
        <f t="shared" si="16"/>
        <v>2</v>
      </c>
      <c r="G96" s="1" t="s">
        <v>129</v>
      </c>
      <c r="H96" s="1" t="s">
        <v>451</v>
      </c>
      <c r="I96" s="1">
        <v>1</v>
      </c>
      <c r="J96" s="1" t="s">
        <v>352</v>
      </c>
      <c r="K96" s="1" t="s">
        <v>352</v>
      </c>
      <c r="L96" s="7" t="s">
        <v>126</v>
      </c>
      <c r="M96" t="s">
        <v>90</v>
      </c>
    </row>
    <row r="97" spans="1:13">
      <c r="A97" s="1">
        <v>2</v>
      </c>
      <c r="B97" s="1">
        <v>0</v>
      </c>
      <c r="C97" s="1">
        <v>7</v>
      </c>
      <c r="D97" t="s">
        <v>568</v>
      </c>
      <c r="E97" s="1">
        <f t="shared" si="13"/>
        <v>400</v>
      </c>
      <c r="F97" s="1">
        <f t="shared" si="16"/>
        <v>2</v>
      </c>
      <c r="G97" s="1" t="s">
        <v>129</v>
      </c>
      <c r="H97" s="1" t="s">
        <v>452</v>
      </c>
      <c r="I97" s="1">
        <v>1</v>
      </c>
      <c r="J97" s="1" t="s">
        <v>352</v>
      </c>
      <c r="K97" s="1" t="s">
        <v>352</v>
      </c>
      <c r="L97" s="7" t="s">
        <v>127</v>
      </c>
      <c r="M97" t="s">
        <v>90</v>
      </c>
    </row>
    <row r="98" spans="1:13">
      <c r="A98" s="1">
        <v>2</v>
      </c>
      <c r="B98" s="1">
        <v>0</v>
      </c>
      <c r="C98" s="1">
        <v>8</v>
      </c>
      <c r="D98" t="s">
        <v>80</v>
      </c>
      <c r="E98" s="1">
        <f t="shared" si="13"/>
        <v>-400</v>
      </c>
      <c r="F98" s="1">
        <f t="shared" si="16"/>
        <v>1</v>
      </c>
      <c r="G98" s="1" t="s">
        <v>129</v>
      </c>
      <c r="H98" s="1" t="s">
        <v>344</v>
      </c>
      <c r="I98" s="1">
        <v>1</v>
      </c>
      <c r="J98" s="1" t="s">
        <v>352</v>
      </c>
      <c r="K98" s="1" t="s">
        <v>352</v>
      </c>
      <c r="L98" s="7" t="s">
        <v>368</v>
      </c>
      <c r="M98" t="s">
        <v>90</v>
      </c>
    </row>
    <row r="99" spans="1:13">
      <c r="A99" s="1">
        <v>2</v>
      </c>
      <c r="B99" s="1">
        <v>0</v>
      </c>
      <c r="C99" s="1">
        <v>9</v>
      </c>
      <c r="D99" t="s">
        <v>80</v>
      </c>
      <c r="E99" s="1">
        <f t="shared" si="13"/>
        <v>-400</v>
      </c>
      <c r="F99" s="1">
        <f t="shared" si="16"/>
        <v>1</v>
      </c>
      <c r="G99" s="1" t="s">
        <v>129</v>
      </c>
      <c r="H99" s="1" t="s">
        <v>344</v>
      </c>
      <c r="I99" s="1">
        <v>1</v>
      </c>
      <c r="J99" s="1" t="s">
        <v>352</v>
      </c>
      <c r="K99" s="1" t="s">
        <v>352</v>
      </c>
      <c r="L99" s="7" t="s">
        <v>369</v>
      </c>
      <c r="M99" t="s">
        <v>90</v>
      </c>
    </row>
    <row r="100" spans="1:13">
      <c r="A100" s="1">
        <v>2</v>
      </c>
      <c r="B100" s="1">
        <v>0</v>
      </c>
      <c r="C100" s="1">
        <v>10</v>
      </c>
      <c r="D100" t="s">
        <v>80</v>
      </c>
      <c r="E100" s="1">
        <f t="shared" si="13"/>
        <v>-400</v>
      </c>
      <c r="F100" s="1">
        <f t="shared" si="16"/>
        <v>1</v>
      </c>
      <c r="G100" s="1" t="s">
        <v>129</v>
      </c>
      <c r="H100" s="1" t="s">
        <v>344</v>
      </c>
      <c r="I100" s="1">
        <v>1</v>
      </c>
      <c r="J100" s="1" t="s">
        <v>352</v>
      </c>
      <c r="K100" s="1" t="s">
        <v>352</v>
      </c>
      <c r="L100" s="7" t="s">
        <v>132</v>
      </c>
      <c r="M100" t="s">
        <v>90</v>
      </c>
    </row>
    <row r="101" spans="1:13">
      <c r="A101" s="1">
        <v>2</v>
      </c>
      <c r="B101" s="1">
        <v>0</v>
      </c>
      <c r="C101" s="1">
        <v>11</v>
      </c>
      <c r="D101" t="s">
        <v>80</v>
      </c>
      <c r="E101" s="1">
        <f t="shared" si="13"/>
        <v>-400</v>
      </c>
      <c r="F101" s="1">
        <f t="shared" si="16"/>
        <v>1</v>
      </c>
      <c r="G101" s="1" t="s">
        <v>129</v>
      </c>
      <c r="H101" s="1" t="s">
        <v>344</v>
      </c>
      <c r="I101" s="1">
        <v>1</v>
      </c>
      <c r="J101" s="1" t="s">
        <v>352</v>
      </c>
      <c r="K101" s="1" t="s">
        <v>352</v>
      </c>
      <c r="L101" s="7" t="s">
        <v>133</v>
      </c>
      <c r="M101" t="s">
        <v>90</v>
      </c>
    </row>
    <row r="102" spans="1:13">
      <c r="A102" s="1">
        <v>2</v>
      </c>
      <c r="B102" s="1">
        <v>0</v>
      </c>
      <c r="C102" s="1">
        <v>12</v>
      </c>
      <c r="D102" t="s">
        <v>80</v>
      </c>
      <c r="E102" s="1">
        <f t="shared" si="13"/>
        <v>-400</v>
      </c>
      <c r="F102" s="1">
        <f t="shared" si="16"/>
        <v>1</v>
      </c>
      <c r="G102" s="1" t="s">
        <v>129</v>
      </c>
      <c r="H102" s="1" t="s">
        <v>344</v>
      </c>
      <c r="I102" s="1">
        <v>1</v>
      </c>
      <c r="J102" s="1" t="s">
        <v>352</v>
      </c>
      <c r="K102" s="1" t="s">
        <v>352</v>
      </c>
      <c r="L102" s="7" t="s">
        <v>395</v>
      </c>
      <c r="M102" t="s">
        <v>90</v>
      </c>
    </row>
    <row r="103" spans="1:13">
      <c r="A103" s="1">
        <v>2</v>
      </c>
      <c r="B103" s="1">
        <v>0</v>
      </c>
      <c r="C103" s="1">
        <v>13</v>
      </c>
      <c r="D103" t="s">
        <v>117</v>
      </c>
      <c r="E103" s="1">
        <f t="shared" si="13"/>
        <v>400</v>
      </c>
      <c r="F103" s="1">
        <f t="shared" si="16"/>
        <v>2</v>
      </c>
      <c r="G103" s="1" t="s">
        <v>9</v>
      </c>
      <c r="H103" s="1" t="s">
        <v>454</v>
      </c>
      <c r="I103" s="1">
        <v>1</v>
      </c>
      <c r="J103" s="1" t="s">
        <v>352</v>
      </c>
      <c r="K103" s="1" t="s">
        <v>352</v>
      </c>
      <c r="L103" s="7" t="s">
        <v>370</v>
      </c>
      <c r="M103" t="s">
        <v>90</v>
      </c>
    </row>
    <row r="104" spans="1:13">
      <c r="A104" s="1">
        <v>2</v>
      </c>
      <c r="B104" s="1">
        <v>0</v>
      </c>
      <c r="C104" s="1">
        <v>14</v>
      </c>
      <c r="D104" t="s">
        <v>117</v>
      </c>
      <c r="E104" s="1">
        <f t="shared" si="13"/>
        <v>400</v>
      </c>
      <c r="F104" s="1">
        <f t="shared" si="16"/>
        <v>2</v>
      </c>
      <c r="G104" s="1" t="s">
        <v>9</v>
      </c>
      <c r="H104" s="1" t="s">
        <v>455</v>
      </c>
      <c r="I104" s="1">
        <v>1</v>
      </c>
      <c r="J104" s="1" t="s">
        <v>352</v>
      </c>
      <c r="K104" s="1" t="s">
        <v>352</v>
      </c>
      <c r="L104" s="7" t="s">
        <v>136</v>
      </c>
      <c r="M104" t="s">
        <v>90</v>
      </c>
    </row>
    <row r="105" spans="1:13">
      <c r="A105" s="1">
        <v>2</v>
      </c>
      <c r="B105" s="1">
        <v>0</v>
      </c>
      <c r="C105" s="1">
        <v>15</v>
      </c>
      <c r="D105" t="s">
        <v>80</v>
      </c>
      <c r="E105" s="1">
        <f t="shared" si="13"/>
        <v>-400</v>
      </c>
      <c r="F105" s="1">
        <f t="shared" si="16"/>
        <v>1</v>
      </c>
      <c r="G105" s="1" t="s">
        <v>523</v>
      </c>
      <c r="H105" s="1" t="s">
        <v>344</v>
      </c>
      <c r="I105" s="1">
        <v>1</v>
      </c>
      <c r="J105" s="1" t="s">
        <v>352</v>
      </c>
      <c r="K105" s="1" t="s">
        <v>352</v>
      </c>
      <c r="L105" s="7" t="s">
        <v>137</v>
      </c>
      <c r="M105" t="s">
        <v>90</v>
      </c>
    </row>
    <row r="106" spans="1:13">
      <c r="A106" s="1">
        <v>2</v>
      </c>
      <c r="B106" s="1">
        <v>0</v>
      </c>
      <c r="C106" s="1">
        <v>16</v>
      </c>
      <c r="D106" s="1" t="s">
        <v>90</v>
      </c>
      <c r="E106" s="1" t="s">
        <v>90</v>
      </c>
      <c r="F106" s="1" t="s">
        <v>90</v>
      </c>
      <c r="G106" s="1" t="s">
        <v>90</v>
      </c>
      <c r="H106" s="1" t="s">
        <v>90</v>
      </c>
      <c r="I106" s="1">
        <v>1</v>
      </c>
      <c r="J106" s="1" t="s">
        <v>543</v>
      </c>
      <c r="K106" s="1" t="s">
        <v>539</v>
      </c>
      <c r="L106" s="7" t="s">
        <v>138</v>
      </c>
      <c r="M106" t="s">
        <v>90</v>
      </c>
    </row>
    <row r="107" spans="1:13">
      <c r="A107" s="1">
        <v>2</v>
      </c>
      <c r="B107" s="1">
        <v>1</v>
      </c>
      <c r="C107" s="1">
        <v>1</v>
      </c>
      <c r="D107" s="1" t="s">
        <v>90</v>
      </c>
      <c r="E107" s="1" t="s">
        <v>90</v>
      </c>
      <c r="F107" s="1" t="s">
        <v>90</v>
      </c>
      <c r="G107" s="1" t="s">
        <v>90</v>
      </c>
      <c r="H107" s="1" t="s">
        <v>90</v>
      </c>
      <c r="I107" s="1">
        <v>1</v>
      </c>
      <c r="J107" s="1" t="s">
        <v>90</v>
      </c>
      <c r="K107" s="1" t="s">
        <v>541</v>
      </c>
      <c r="L107" s="7" t="s">
        <v>139</v>
      </c>
      <c r="M107" t="s">
        <v>90</v>
      </c>
    </row>
    <row r="108" spans="1:13">
      <c r="A108" s="1">
        <v>2</v>
      </c>
      <c r="B108" s="1">
        <v>1</v>
      </c>
      <c r="C108" s="1">
        <v>2</v>
      </c>
      <c r="D108" t="s">
        <v>117</v>
      </c>
      <c r="E108" s="1">
        <f t="shared" si="13"/>
        <v>400</v>
      </c>
      <c r="F108" s="1">
        <f>IF(E108=400,2,1)</f>
        <v>2</v>
      </c>
      <c r="G108" s="1" t="s">
        <v>524</v>
      </c>
      <c r="H108" s="1" t="s">
        <v>456</v>
      </c>
      <c r="I108" s="1">
        <v>1</v>
      </c>
      <c r="J108" s="1" t="s">
        <v>352</v>
      </c>
      <c r="K108" s="1" t="s">
        <v>352</v>
      </c>
      <c r="L108" s="7" t="s">
        <v>457</v>
      </c>
      <c r="M108" t="s">
        <v>90</v>
      </c>
    </row>
    <row r="109" spans="1:13">
      <c r="A109" s="1">
        <v>2</v>
      </c>
      <c r="B109" s="1">
        <v>1</v>
      </c>
      <c r="C109" s="1">
        <v>3</v>
      </c>
      <c r="D109" s="1" t="s">
        <v>90</v>
      </c>
      <c r="E109" s="1" t="s">
        <v>90</v>
      </c>
      <c r="F109" s="1" t="s">
        <v>90</v>
      </c>
      <c r="G109" s="1" t="s">
        <v>90</v>
      </c>
      <c r="H109" s="1" t="s">
        <v>90</v>
      </c>
      <c r="I109" s="1">
        <v>1</v>
      </c>
      <c r="J109" s="1" t="s">
        <v>352</v>
      </c>
      <c r="K109" s="1" t="s">
        <v>538</v>
      </c>
      <c r="L109" s="7" t="s">
        <v>141</v>
      </c>
      <c r="M109" t="s">
        <v>90</v>
      </c>
    </row>
    <row r="110" spans="1:13">
      <c r="A110" s="1">
        <v>2</v>
      </c>
      <c r="B110" s="1">
        <v>1</v>
      </c>
      <c r="C110" s="1">
        <v>4</v>
      </c>
      <c r="D110" s="1" t="s">
        <v>90</v>
      </c>
      <c r="E110" s="1" t="s">
        <v>90</v>
      </c>
      <c r="F110" s="1" t="s">
        <v>90</v>
      </c>
      <c r="G110" s="1" t="s">
        <v>90</v>
      </c>
      <c r="H110" s="1" t="s">
        <v>90</v>
      </c>
      <c r="I110" s="1">
        <v>1</v>
      </c>
      <c r="J110" s="1" t="s">
        <v>352</v>
      </c>
      <c r="K110" s="1" t="s">
        <v>352</v>
      </c>
      <c r="L110" s="7" t="s">
        <v>142</v>
      </c>
      <c r="M110" t="s">
        <v>90</v>
      </c>
    </row>
    <row r="111" spans="1:13">
      <c r="A111" s="1">
        <v>2</v>
      </c>
      <c r="B111" s="1">
        <v>1</v>
      </c>
      <c r="C111" s="1">
        <v>5</v>
      </c>
      <c r="D111" t="s">
        <v>117</v>
      </c>
      <c r="E111" s="1">
        <f t="shared" si="13"/>
        <v>400</v>
      </c>
      <c r="F111" s="1">
        <f>IF(E111=400,2,1)</f>
        <v>2</v>
      </c>
      <c r="G111" s="1" t="s">
        <v>129</v>
      </c>
      <c r="H111" s="1" t="s">
        <v>458</v>
      </c>
      <c r="I111" s="1">
        <v>1</v>
      </c>
      <c r="J111" s="1" t="s">
        <v>352</v>
      </c>
      <c r="K111" s="1" t="s">
        <v>352</v>
      </c>
      <c r="L111" s="7" t="s">
        <v>143</v>
      </c>
      <c r="M111" t="s">
        <v>90</v>
      </c>
    </row>
    <row r="112" spans="1:13">
      <c r="A112" s="1">
        <v>2</v>
      </c>
      <c r="B112" s="1">
        <v>1</v>
      </c>
      <c r="C112" s="1">
        <v>6</v>
      </c>
      <c r="D112" s="1" t="s">
        <v>90</v>
      </c>
      <c r="E112" s="1" t="s">
        <v>90</v>
      </c>
      <c r="F112" s="1" t="s">
        <v>90</v>
      </c>
      <c r="G112" s="1" t="s">
        <v>90</v>
      </c>
      <c r="H112" s="1" t="s">
        <v>90</v>
      </c>
      <c r="I112" s="1">
        <v>1</v>
      </c>
      <c r="J112" s="1" t="s">
        <v>352</v>
      </c>
      <c r="K112" s="1" t="s">
        <v>352</v>
      </c>
      <c r="L112" s="7" t="s">
        <v>144</v>
      </c>
      <c r="M112" t="s">
        <v>90</v>
      </c>
    </row>
    <row r="113" spans="1:13">
      <c r="A113" s="1">
        <v>2</v>
      </c>
      <c r="B113" s="1">
        <v>1</v>
      </c>
      <c r="C113" s="1">
        <v>7</v>
      </c>
      <c r="D113" s="1" t="s">
        <v>90</v>
      </c>
      <c r="E113" s="1" t="s">
        <v>90</v>
      </c>
      <c r="F113" s="1" t="s">
        <v>90</v>
      </c>
      <c r="G113" s="1" t="s">
        <v>90</v>
      </c>
      <c r="H113" s="1" t="s">
        <v>90</v>
      </c>
      <c r="I113" s="1">
        <v>1</v>
      </c>
      <c r="J113" s="1" t="s">
        <v>352</v>
      </c>
      <c r="K113" s="1" t="s">
        <v>540</v>
      </c>
      <c r="L113" s="7" t="s">
        <v>145</v>
      </c>
      <c r="M113" t="s">
        <v>90</v>
      </c>
    </row>
    <row r="114" spans="1:13">
      <c r="A114" s="1">
        <v>2</v>
      </c>
      <c r="B114" s="1">
        <v>1</v>
      </c>
      <c r="C114" s="1">
        <v>8</v>
      </c>
      <c r="D114" s="1" t="s">
        <v>90</v>
      </c>
      <c r="E114" s="1" t="s">
        <v>90</v>
      </c>
      <c r="F114" s="1" t="s">
        <v>90</v>
      </c>
      <c r="G114" s="1" t="s">
        <v>90</v>
      </c>
      <c r="H114" s="1" t="s">
        <v>90</v>
      </c>
      <c r="I114" s="1">
        <v>1</v>
      </c>
      <c r="J114" s="1" t="s">
        <v>352</v>
      </c>
      <c r="K114" s="1" t="s">
        <v>352</v>
      </c>
      <c r="L114" s="7" t="s">
        <v>146</v>
      </c>
      <c r="M114" t="s">
        <v>90</v>
      </c>
    </row>
    <row r="115" spans="1:13">
      <c r="A115" s="1">
        <v>2</v>
      </c>
      <c r="B115" s="1">
        <v>1</v>
      </c>
      <c r="C115" s="1">
        <v>9</v>
      </c>
      <c r="D115" s="1" t="s">
        <v>90</v>
      </c>
      <c r="E115" s="1" t="s">
        <v>90</v>
      </c>
      <c r="F115" s="1" t="s">
        <v>90</v>
      </c>
      <c r="G115" s="1" t="s">
        <v>90</v>
      </c>
      <c r="H115" s="1" t="s">
        <v>90</v>
      </c>
      <c r="I115" s="1">
        <v>1</v>
      </c>
      <c r="J115" s="1" t="s">
        <v>352</v>
      </c>
      <c r="K115" s="1" t="s">
        <v>352</v>
      </c>
      <c r="L115" s="7" t="s">
        <v>147</v>
      </c>
      <c r="M115" t="s">
        <v>90</v>
      </c>
    </row>
    <row r="116" spans="1:13">
      <c r="A116" s="1">
        <v>2</v>
      </c>
      <c r="B116" s="1">
        <v>1</v>
      </c>
      <c r="C116" s="1">
        <v>10</v>
      </c>
      <c r="D116" t="s">
        <v>120</v>
      </c>
      <c r="E116" s="1">
        <f t="shared" si="13"/>
        <v>400</v>
      </c>
      <c r="F116" s="1">
        <f t="shared" ref="F116:F120" si="17">IF(E116=400,2,1)</f>
        <v>2</v>
      </c>
      <c r="G116" s="1" t="s">
        <v>174</v>
      </c>
      <c r="H116" s="1" t="s">
        <v>452</v>
      </c>
      <c r="I116" s="1">
        <v>1</v>
      </c>
      <c r="J116" s="1" t="s">
        <v>354</v>
      </c>
      <c r="K116" s="1" t="s">
        <v>564</v>
      </c>
      <c r="L116" s="7" t="s">
        <v>148</v>
      </c>
      <c r="M116" t="s">
        <v>90</v>
      </c>
    </row>
    <row r="117" spans="1:13">
      <c r="A117" s="1">
        <v>2</v>
      </c>
      <c r="B117" s="1">
        <v>1</v>
      </c>
      <c r="C117" s="1">
        <v>11</v>
      </c>
      <c r="D117" t="s">
        <v>121</v>
      </c>
      <c r="E117" s="1">
        <v>-400</v>
      </c>
      <c r="F117" s="1">
        <f t="shared" si="17"/>
        <v>1</v>
      </c>
      <c r="G117" s="1" t="s">
        <v>174</v>
      </c>
      <c r="H117" s="1" t="s">
        <v>453</v>
      </c>
      <c r="I117" s="1">
        <v>1</v>
      </c>
      <c r="J117" s="1" t="s">
        <v>352</v>
      </c>
      <c r="K117" s="1" t="s">
        <v>352</v>
      </c>
      <c r="L117" s="7" t="s">
        <v>149</v>
      </c>
      <c r="M117" t="s">
        <v>90</v>
      </c>
    </row>
    <row r="118" spans="1:13">
      <c r="A118" s="1">
        <v>2</v>
      </c>
      <c r="B118" s="1">
        <v>1</v>
      </c>
      <c r="C118" s="1">
        <v>12</v>
      </c>
      <c r="D118" t="s">
        <v>117</v>
      </c>
      <c r="E118" s="1">
        <f t="shared" si="13"/>
        <v>400</v>
      </c>
      <c r="F118" s="1">
        <f t="shared" si="17"/>
        <v>2</v>
      </c>
      <c r="G118" s="1" t="s">
        <v>129</v>
      </c>
      <c r="H118" s="1" t="s">
        <v>454</v>
      </c>
      <c r="I118" s="1">
        <v>1</v>
      </c>
      <c r="J118" s="1" t="s">
        <v>352</v>
      </c>
      <c r="K118" s="1" t="s">
        <v>352</v>
      </c>
      <c r="L118" s="7" t="s">
        <v>396</v>
      </c>
      <c r="M118" t="s">
        <v>90</v>
      </c>
    </row>
    <row r="119" spans="1:13">
      <c r="A119" s="1">
        <v>2</v>
      </c>
      <c r="B119" s="1">
        <v>1</v>
      </c>
      <c r="C119" s="1">
        <v>13</v>
      </c>
      <c r="D119" t="s">
        <v>120</v>
      </c>
      <c r="E119" s="1">
        <f t="shared" si="13"/>
        <v>400</v>
      </c>
      <c r="F119" s="1">
        <f t="shared" si="17"/>
        <v>2</v>
      </c>
      <c r="G119" s="1" t="s">
        <v>175</v>
      </c>
      <c r="H119" s="1" t="s">
        <v>459</v>
      </c>
      <c r="I119" s="1">
        <v>1</v>
      </c>
      <c r="J119" s="1" t="s">
        <v>352</v>
      </c>
      <c r="K119" s="1" t="s">
        <v>352</v>
      </c>
      <c r="L119" s="7" t="s">
        <v>151</v>
      </c>
      <c r="M119" t="s">
        <v>90</v>
      </c>
    </row>
    <row r="120" spans="1:13">
      <c r="A120" s="1">
        <v>2</v>
      </c>
      <c r="B120" s="1">
        <v>1</v>
      </c>
      <c r="C120" s="1">
        <v>14</v>
      </c>
      <c r="D120" t="s">
        <v>121</v>
      </c>
      <c r="E120" s="1">
        <v>-400</v>
      </c>
      <c r="F120" s="1">
        <f t="shared" si="17"/>
        <v>1</v>
      </c>
      <c r="G120" s="1" t="s">
        <v>175</v>
      </c>
      <c r="H120" s="1" t="s">
        <v>460</v>
      </c>
      <c r="I120" s="1">
        <v>1</v>
      </c>
      <c r="J120" s="1" t="s">
        <v>352</v>
      </c>
      <c r="K120" s="1" t="s">
        <v>352</v>
      </c>
      <c r="L120" s="7" t="s">
        <v>152</v>
      </c>
      <c r="M120" t="s">
        <v>90</v>
      </c>
    </row>
    <row r="121" spans="1:13">
      <c r="A121" s="1">
        <v>2</v>
      </c>
      <c r="B121" s="1">
        <v>1</v>
      </c>
      <c r="C121" s="1">
        <v>15</v>
      </c>
      <c r="D121" s="1" t="s">
        <v>90</v>
      </c>
      <c r="E121" s="1" t="s">
        <v>90</v>
      </c>
      <c r="F121" s="1" t="s">
        <v>90</v>
      </c>
      <c r="G121" s="1" t="s">
        <v>90</v>
      </c>
      <c r="H121" s="1" t="s">
        <v>90</v>
      </c>
      <c r="I121" s="1">
        <v>1</v>
      </c>
      <c r="J121" s="1" t="s">
        <v>352</v>
      </c>
      <c r="K121" s="1" t="s">
        <v>352</v>
      </c>
      <c r="L121" s="7" t="s">
        <v>153</v>
      </c>
      <c r="M121" t="s">
        <v>90</v>
      </c>
    </row>
    <row r="122" spans="1:13">
      <c r="A122" s="1">
        <v>2</v>
      </c>
      <c r="B122" s="1">
        <v>1</v>
      </c>
      <c r="C122" s="1">
        <v>16</v>
      </c>
      <c r="D122" s="1" t="s">
        <v>90</v>
      </c>
      <c r="E122" s="1" t="s">
        <v>90</v>
      </c>
      <c r="F122" s="1" t="s">
        <v>90</v>
      </c>
      <c r="G122" s="1" t="s">
        <v>90</v>
      </c>
      <c r="H122" s="1" t="s">
        <v>90</v>
      </c>
      <c r="I122" s="1">
        <v>1</v>
      </c>
      <c r="J122" s="1" t="s">
        <v>352</v>
      </c>
      <c r="K122" s="1" t="s">
        <v>352</v>
      </c>
      <c r="L122" s="7" t="s">
        <v>154</v>
      </c>
      <c r="M122" t="s">
        <v>90</v>
      </c>
    </row>
    <row r="123" spans="1:13">
      <c r="A123" s="1">
        <v>2</v>
      </c>
      <c r="B123" s="1">
        <v>1</v>
      </c>
      <c r="C123" s="1">
        <v>17</v>
      </c>
      <c r="D123" s="1" t="s">
        <v>90</v>
      </c>
      <c r="E123" s="1" t="s">
        <v>90</v>
      </c>
      <c r="F123" s="1" t="s">
        <v>90</v>
      </c>
      <c r="G123" s="1" t="s">
        <v>90</v>
      </c>
      <c r="H123" s="1" t="s">
        <v>90</v>
      </c>
      <c r="I123" s="1">
        <v>1</v>
      </c>
      <c r="J123" s="1" t="s">
        <v>352</v>
      </c>
      <c r="K123" s="1" t="s">
        <v>352</v>
      </c>
      <c r="L123" s="7" t="s">
        <v>155</v>
      </c>
      <c r="M123" t="s">
        <v>90</v>
      </c>
    </row>
    <row r="124" spans="1:13">
      <c r="A124" s="1">
        <v>2</v>
      </c>
      <c r="B124" s="1">
        <v>1</v>
      </c>
      <c r="C124" s="1">
        <v>18</v>
      </c>
      <c r="D124" s="1" t="s">
        <v>90</v>
      </c>
      <c r="E124" s="1" t="s">
        <v>90</v>
      </c>
      <c r="F124" s="1" t="s">
        <v>90</v>
      </c>
      <c r="G124" s="1" t="s">
        <v>90</v>
      </c>
      <c r="H124" s="1" t="s">
        <v>90</v>
      </c>
      <c r="I124" s="1">
        <v>1</v>
      </c>
      <c r="J124" s="1" t="s">
        <v>352</v>
      </c>
      <c r="K124" s="1" t="s">
        <v>352</v>
      </c>
      <c r="L124" s="7" t="s">
        <v>156</v>
      </c>
      <c r="M124" t="s">
        <v>90</v>
      </c>
    </row>
    <row r="125" spans="1:13">
      <c r="A125" s="1">
        <v>2</v>
      </c>
      <c r="B125" s="1">
        <v>1</v>
      </c>
      <c r="C125" s="1">
        <v>19</v>
      </c>
      <c r="D125" t="s">
        <v>117</v>
      </c>
      <c r="E125" s="1">
        <f t="shared" si="13"/>
        <v>400</v>
      </c>
      <c r="F125" s="1">
        <f t="shared" ref="F125:F138" si="18">IF(E125=400,2,1)</f>
        <v>2</v>
      </c>
      <c r="G125" s="1" t="s">
        <v>129</v>
      </c>
      <c r="H125" s="1" t="s">
        <v>458</v>
      </c>
      <c r="I125" s="1">
        <v>1</v>
      </c>
      <c r="J125" s="1" t="s">
        <v>352</v>
      </c>
      <c r="K125" s="1" t="s">
        <v>352</v>
      </c>
      <c r="L125" s="7" t="s">
        <v>157</v>
      </c>
      <c r="M125" t="s">
        <v>90</v>
      </c>
    </row>
    <row r="126" spans="1:13">
      <c r="A126" s="1">
        <v>2</v>
      </c>
      <c r="B126" s="1">
        <v>1</v>
      </c>
      <c r="C126" s="1">
        <v>20</v>
      </c>
      <c r="D126" t="s">
        <v>117</v>
      </c>
      <c r="E126" s="1">
        <v>-400</v>
      </c>
      <c r="F126" s="1">
        <f t="shared" si="18"/>
        <v>1</v>
      </c>
      <c r="G126" s="1" t="s">
        <v>129</v>
      </c>
      <c r="H126" s="1" t="s">
        <v>461</v>
      </c>
      <c r="I126" s="1">
        <v>1</v>
      </c>
      <c r="J126" s="1" t="s">
        <v>352</v>
      </c>
      <c r="K126" s="1" t="s">
        <v>352</v>
      </c>
      <c r="L126" s="7" t="s">
        <v>158</v>
      </c>
      <c r="M126" t="s">
        <v>90</v>
      </c>
    </row>
    <row r="127" spans="1:13">
      <c r="A127" s="1">
        <v>2</v>
      </c>
      <c r="B127" s="1">
        <v>1</v>
      </c>
      <c r="C127" s="1">
        <v>21</v>
      </c>
      <c r="D127" t="s">
        <v>117</v>
      </c>
      <c r="E127" s="1">
        <f t="shared" si="13"/>
        <v>400</v>
      </c>
      <c r="F127" s="1">
        <f t="shared" si="18"/>
        <v>2</v>
      </c>
      <c r="G127" s="1" t="s">
        <v>175</v>
      </c>
      <c r="H127" s="1" t="s">
        <v>462</v>
      </c>
      <c r="I127" s="1">
        <v>1</v>
      </c>
      <c r="J127" s="1" t="s">
        <v>352</v>
      </c>
      <c r="K127" s="1" t="s">
        <v>352</v>
      </c>
      <c r="L127" s="7" t="s">
        <v>159</v>
      </c>
      <c r="M127" t="s">
        <v>90</v>
      </c>
    </row>
    <row r="128" spans="1:13">
      <c r="A128" s="1">
        <v>2</v>
      </c>
      <c r="B128" s="1">
        <v>1</v>
      </c>
      <c r="C128" s="1">
        <v>22</v>
      </c>
      <c r="D128" t="s">
        <v>117</v>
      </c>
      <c r="E128" s="1">
        <f t="shared" si="13"/>
        <v>400</v>
      </c>
      <c r="F128" s="1">
        <f t="shared" si="18"/>
        <v>2</v>
      </c>
      <c r="G128" s="1" t="s">
        <v>129</v>
      </c>
      <c r="H128" s="1" t="s">
        <v>458</v>
      </c>
      <c r="I128" s="1">
        <v>1</v>
      </c>
      <c r="J128" s="1" t="s">
        <v>352</v>
      </c>
      <c r="K128" s="1" t="s">
        <v>352</v>
      </c>
      <c r="L128" s="7" t="s">
        <v>371</v>
      </c>
      <c r="M128" t="s">
        <v>90</v>
      </c>
    </row>
    <row r="129" spans="1:13">
      <c r="A129" s="1">
        <v>2</v>
      </c>
      <c r="B129" s="1">
        <v>1</v>
      </c>
      <c r="C129" s="1">
        <v>23</v>
      </c>
      <c r="D129" t="s">
        <v>117</v>
      </c>
      <c r="E129" s="1">
        <f t="shared" si="13"/>
        <v>400</v>
      </c>
      <c r="F129" s="1">
        <f t="shared" si="18"/>
        <v>2</v>
      </c>
      <c r="G129" s="1" t="s">
        <v>129</v>
      </c>
      <c r="H129" s="1" t="s">
        <v>458</v>
      </c>
      <c r="I129" s="1">
        <v>1</v>
      </c>
      <c r="J129" s="1" t="s">
        <v>352</v>
      </c>
      <c r="K129" s="1" t="s">
        <v>352</v>
      </c>
      <c r="L129" s="7" t="s">
        <v>161</v>
      </c>
      <c r="M129" t="s">
        <v>90</v>
      </c>
    </row>
    <row r="130" spans="1:13">
      <c r="A130" s="1">
        <v>2</v>
      </c>
      <c r="B130" s="1">
        <v>1</v>
      </c>
      <c r="C130" s="1">
        <v>24</v>
      </c>
      <c r="D130" t="s">
        <v>117</v>
      </c>
      <c r="E130" s="1">
        <f t="shared" si="13"/>
        <v>400</v>
      </c>
      <c r="F130" s="1">
        <f t="shared" si="18"/>
        <v>2</v>
      </c>
      <c r="G130" s="1" t="s">
        <v>129</v>
      </c>
      <c r="H130" s="1" t="s">
        <v>458</v>
      </c>
      <c r="I130" s="1">
        <v>1</v>
      </c>
      <c r="J130" s="1" t="s">
        <v>352</v>
      </c>
      <c r="K130" s="1" t="s">
        <v>352</v>
      </c>
      <c r="L130" s="7" t="s">
        <v>162</v>
      </c>
      <c r="M130" t="s">
        <v>90</v>
      </c>
    </row>
    <row r="131" spans="1:13">
      <c r="A131" s="1">
        <v>2</v>
      </c>
      <c r="B131" s="1">
        <v>1</v>
      </c>
      <c r="C131" s="1">
        <v>25</v>
      </c>
      <c r="D131" t="s">
        <v>117</v>
      </c>
      <c r="E131" s="1">
        <f t="shared" si="13"/>
        <v>400</v>
      </c>
      <c r="F131" s="1">
        <f t="shared" si="18"/>
        <v>2</v>
      </c>
      <c r="G131" s="1" t="s">
        <v>129</v>
      </c>
      <c r="H131" s="1" t="s">
        <v>458</v>
      </c>
      <c r="I131" s="1">
        <v>1</v>
      </c>
      <c r="J131" s="1" t="s">
        <v>352</v>
      </c>
      <c r="K131" s="1" t="s">
        <v>352</v>
      </c>
      <c r="L131" s="7" t="s">
        <v>397</v>
      </c>
      <c r="M131" t="s">
        <v>90</v>
      </c>
    </row>
    <row r="132" spans="1:13">
      <c r="A132" s="1">
        <v>2</v>
      </c>
      <c r="B132" s="1">
        <v>1</v>
      </c>
      <c r="C132" s="1">
        <v>26</v>
      </c>
      <c r="D132" t="s">
        <v>117</v>
      </c>
      <c r="E132" s="1">
        <f t="shared" si="13"/>
        <v>400</v>
      </c>
      <c r="F132" s="1">
        <f t="shared" si="18"/>
        <v>2</v>
      </c>
      <c r="G132" s="1" t="s">
        <v>129</v>
      </c>
      <c r="H132" s="1" t="s">
        <v>458</v>
      </c>
      <c r="I132" s="1">
        <v>1</v>
      </c>
      <c r="J132" s="1" t="s">
        <v>352</v>
      </c>
      <c r="K132" s="1" t="s">
        <v>352</v>
      </c>
      <c r="L132" s="7" t="s">
        <v>163</v>
      </c>
      <c r="M132" t="s">
        <v>90</v>
      </c>
    </row>
    <row r="133" spans="1:13">
      <c r="A133" s="1">
        <v>2</v>
      </c>
      <c r="B133" s="1">
        <v>1</v>
      </c>
      <c r="C133" s="1">
        <v>27</v>
      </c>
      <c r="D133" t="s">
        <v>117</v>
      </c>
      <c r="E133" s="1">
        <f t="shared" si="13"/>
        <v>400</v>
      </c>
      <c r="F133" s="1">
        <f t="shared" si="18"/>
        <v>2</v>
      </c>
      <c r="G133" s="1" t="s">
        <v>129</v>
      </c>
      <c r="H133" s="1" t="s">
        <v>458</v>
      </c>
      <c r="I133" s="1">
        <v>1</v>
      </c>
      <c r="J133" s="1" t="s">
        <v>352</v>
      </c>
      <c r="K133" s="1" t="s">
        <v>352</v>
      </c>
      <c r="L133" s="7" t="s">
        <v>164</v>
      </c>
      <c r="M133" t="s">
        <v>90</v>
      </c>
    </row>
    <row r="134" spans="1:13">
      <c r="A134" s="1">
        <v>2</v>
      </c>
      <c r="B134" s="1">
        <v>1</v>
      </c>
      <c r="C134" s="1">
        <v>28</v>
      </c>
      <c r="D134" t="s">
        <v>117</v>
      </c>
      <c r="E134" s="1">
        <f t="shared" ref="E134:E147" si="19">IF(D134="Abaro",-400,400)</f>
        <v>400</v>
      </c>
      <c r="F134" s="1">
        <f t="shared" si="18"/>
        <v>2</v>
      </c>
      <c r="G134" s="1" t="s">
        <v>129</v>
      </c>
      <c r="H134" s="1" t="s">
        <v>458</v>
      </c>
      <c r="I134" s="1">
        <v>1</v>
      </c>
      <c r="J134" s="1" t="s">
        <v>352</v>
      </c>
      <c r="K134" s="1" t="s">
        <v>352</v>
      </c>
      <c r="L134" s="7" t="s">
        <v>165</v>
      </c>
      <c r="M134" t="s">
        <v>90</v>
      </c>
    </row>
    <row r="135" spans="1:13">
      <c r="A135" s="1">
        <v>2</v>
      </c>
      <c r="B135" s="1">
        <v>1</v>
      </c>
      <c r="C135" s="1">
        <v>29</v>
      </c>
      <c r="D135" t="s">
        <v>117</v>
      </c>
      <c r="E135" s="1">
        <f t="shared" si="19"/>
        <v>400</v>
      </c>
      <c r="F135" s="1">
        <f t="shared" si="18"/>
        <v>2</v>
      </c>
      <c r="G135" s="1" t="s">
        <v>129</v>
      </c>
      <c r="H135" s="1" t="s">
        <v>458</v>
      </c>
      <c r="I135" s="1">
        <v>1</v>
      </c>
      <c r="J135" s="1" t="s">
        <v>352</v>
      </c>
      <c r="K135" s="1" t="s">
        <v>352</v>
      </c>
      <c r="L135" s="7" t="s">
        <v>166</v>
      </c>
      <c r="M135" t="s">
        <v>90</v>
      </c>
    </row>
    <row r="136" spans="1:13">
      <c r="A136" s="1">
        <v>2</v>
      </c>
      <c r="B136" s="1">
        <v>1</v>
      </c>
      <c r="C136" s="1">
        <v>30</v>
      </c>
      <c r="D136" t="s">
        <v>117</v>
      </c>
      <c r="E136" s="1">
        <f t="shared" si="19"/>
        <v>400</v>
      </c>
      <c r="F136" s="1">
        <f t="shared" si="18"/>
        <v>2</v>
      </c>
      <c r="G136" s="1" t="s">
        <v>129</v>
      </c>
      <c r="H136" s="1" t="s">
        <v>458</v>
      </c>
      <c r="I136" s="1">
        <v>1</v>
      </c>
      <c r="J136" s="1" t="s">
        <v>352</v>
      </c>
      <c r="K136" s="1" t="s">
        <v>352</v>
      </c>
      <c r="L136" s="7" t="s">
        <v>168</v>
      </c>
      <c r="M136" t="s">
        <v>90</v>
      </c>
    </row>
    <row r="137" spans="1:13">
      <c r="A137" s="1">
        <v>2</v>
      </c>
      <c r="B137" s="1">
        <v>1</v>
      </c>
      <c r="C137" s="1">
        <v>31</v>
      </c>
      <c r="D137" t="s">
        <v>117</v>
      </c>
      <c r="E137" s="1">
        <f t="shared" si="19"/>
        <v>400</v>
      </c>
      <c r="F137" s="1">
        <f t="shared" si="18"/>
        <v>2</v>
      </c>
      <c r="G137" s="1" t="s">
        <v>129</v>
      </c>
      <c r="H137" s="1" t="s">
        <v>458</v>
      </c>
      <c r="I137" s="1">
        <v>1</v>
      </c>
      <c r="J137" s="1" t="s">
        <v>352</v>
      </c>
      <c r="K137" s="1" t="s">
        <v>352</v>
      </c>
      <c r="L137" s="7" t="s">
        <v>169</v>
      </c>
      <c r="M137" t="s">
        <v>90</v>
      </c>
    </row>
    <row r="138" spans="1:13">
      <c r="A138" s="1">
        <v>2</v>
      </c>
      <c r="B138" s="1">
        <v>1</v>
      </c>
      <c r="C138" s="1">
        <v>32</v>
      </c>
      <c r="D138" t="s">
        <v>117</v>
      </c>
      <c r="E138" s="1">
        <f t="shared" si="19"/>
        <v>400</v>
      </c>
      <c r="F138" s="1">
        <f t="shared" si="18"/>
        <v>2</v>
      </c>
      <c r="G138" s="1" t="s">
        <v>129</v>
      </c>
      <c r="H138" s="1" t="s">
        <v>458</v>
      </c>
      <c r="I138" s="1">
        <v>1</v>
      </c>
      <c r="J138" s="1" t="s">
        <v>352</v>
      </c>
      <c r="K138" s="1" t="s">
        <v>352</v>
      </c>
      <c r="L138" s="7" t="s">
        <v>170</v>
      </c>
      <c r="M138" t="s">
        <v>90</v>
      </c>
    </row>
    <row r="139" spans="1:13">
      <c r="A139" s="1">
        <v>2</v>
      </c>
      <c r="B139" s="1">
        <v>1</v>
      </c>
      <c r="C139" s="1">
        <v>33</v>
      </c>
      <c r="D139" t="s">
        <v>117</v>
      </c>
      <c r="E139" s="1">
        <f t="shared" si="19"/>
        <v>400</v>
      </c>
      <c r="F139" s="1">
        <f t="shared" ref="F139:F201" si="20">IF(E139=400,2,1)</f>
        <v>2</v>
      </c>
      <c r="G139" s="1" t="s">
        <v>129</v>
      </c>
      <c r="H139" s="1" t="s">
        <v>458</v>
      </c>
      <c r="I139" s="1">
        <v>1</v>
      </c>
      <c r="J139" s="1" t="s">
        <v>352</v>
      </c>
      <c r="K139" s="1" t="s">
        <v>352</v>
      </c>
      <c r="L139" s="7" t="s">
        <v>171</v>
      </c>
      <c r="M139" t="s">
        <v>90</v>
      </c>
    </row>
    <row r="140" spans="1:13">
      <c r="A140" s="1">
        <v>2</v>
      </c>
      <c r="B140" s="1">
        <v>1</v>
      </c>
      <c r="C140" s="1">
        <v>34</v>
      </c>
      <c r="D140" s="1" t="s">
        <v>90</v>
      </c>
      <c r="E140" s="1" t="s">
        <v>90</v>
      </c>
      <c r="F140" s="1" t="s">
        <v>90</v>
      </c>
      <c r="G140" s="1" t="s">
        <v>90</v>
      </c>
      <c r="H140" s="1" t="s">
        <v>525</v>
      </c>
      <c r="I140" s="1">
        <v>1</v>
      </c>
      <c r="J140" s="1" t="s">
        <v>352</v>
      </c>
      <c r="K140" s="1" t="s">
        <v>352</v>
      </c>
      <c r="L140" s="7" t="s">
        <v>414</v>
      </c>
      <c r="M140" t="s">
        <v>90</v>
      </c>
    </row>
    <row r="141" spans="1:13">
      <c r="A141" s="1">
        <v>2</v>
      </c>
      <c r="B141" s="1">
        <v>1</v>
      </c>
      <c r="C141" s="1">
        <v>35</v>
      </c>
      <c r="D141" s="1" t="s">
        <v>90</v>
      </c>
      <c r="E141" s="1" t="s">
        <v>90</v>
      </c>
      <c r="F141" s="1" t="s">
        <v>90</v>
      </c>
      <c r="G141" s="1" t="s">
        <v>90</v>
      </c>
      <c r="H141" s="1" t="s">
        <v>90</v>
      </c>
      <c r="I141" s="1">
        <v>1</v>
      </c>
      <c r="J141" s="1" t="s">
        <v>544</v>
      </c>
      <c r="K141" s="1" t="s">
        <v>563</v>
      </c>
      <c r="L141" s="7" t="s">
        <v>173</v>
      </c>
      <c r="M141" t="s">
        <v>90</v>
      </c>
    </row>
    <row r="142" spans="1:13">
      <c r="A142" s="1">
        <v>3</v>
      </c>
      <c r="B142" s="1">
        <v>0</v>
      </c>
      <c r="C142" s="1">
        <v>1</v>
      </c>
      <c r="D142" s="1" t="s">
        <v>90</v>
      </c>
      <c r="E142" s="1" t="s">
        <v>90</v>
      </c>
      <c r="F142" s="1" t="s">
        <v>90</v>
      </c>
      <c r="G142" s="1" t="s">
        <v>90</v>
      </c>
      <c r="H142" s="1" t="s">
        <v>90</v>
      </c>
      <c r="I142" s="1">
        <v>1</v>
      </c>
      <c r="J142" s="1" t="s">
        <v>545</v>
      </c>
      <c r="K142" s="1" t="s">
        <v>548</v>
      </c>
      <c r="L142" s="7" t="s">
        <v>177</v>
      </c>
      <c r="M142" t="s">
        <v>90</v>
      </c>
    </row>
    <row r="143" spans="1:13">
      <c r="A143" s="1">
        <v>3</v>
      </c>
      <c r="B143" s="1">
        <v>0</v>
      </c>
      <c r="C143" s="1">
        <v>2</v>
      </c>
      <c r="D143" s="1" t="s">
        <v>90</v>
      </c>
      <c r="E143" s="1" t="s">
        <v>90</v>
      </c>
      <c r="F143" s="1" t="s">
        <v>90</v>
      </c>
      <c r="G143" s="1" t="s">
        <v>90</v>
      </c>
      <c r="H143" s="1" t="s">
        <v>90</v>
      </c>
      <c r="I143" s="1">
        <v>1</v>
      </c>
      <c r="J143" s="1" t="s">
        <v>352</v>
      </c>
      <c r="K143" s="1" t="s">
        <v>352</v>
      </c>
      <c r="L143" s="7" t="s">
        <v>178</v>
      </c>
      <c r="M143" t="s">
        <v>90</v>
      </c>
    </row>
    <row r="144" spans="1:13">
      <c r="A144" s="1">
        <v>3</v>
      </c>
      <c r="B144" s="1">
        <v>0</v>
      </c>
      <c r="C144" s="1">
        <v>3</v>
      </c>
      <c r="D144" s="1" t="s">
        <v>90</v>
      </c>
      <c r="E144" s="1" t="s">
        <v>90</v>
      </c>
      <c r="F144" s="1" t="s">
        <v>90</v>
      </c>
      <c r="G144" s="1" t="s">
        <v>90</v>
      </c>
      <c r="H144" s="1" t="s">
        <v>90</v>
      </c>
      <c r="I144" s="1">
        <v>1</v>
      </c>
      <c r="J144" s="1" t="s">
        <v>352</v>
      </c>
      <c r="K144" s="1" t="s">
        <v>352</v>
      </c>
      <c r="L144" s="7" t="s">
        <v>179</v>
      </c>
      <c r="M144" t="s">
        <v>90</v>
      </c>
    </row>
    <row r="145" spans="1:13">
      <c r="A145" s="1">
        <v>3</v>
      </c>
      <c r="B145" s="1">
        <v>0</v>
      </c>
      <c r="C145" s="1">
        <v>4</v>
      </c>
      <c r="D145" s="1" t="s">
        <v>90</v>
      </c>
      <c r="E145" s="1" t="s">
        <v>90</v>
      </c>
      <c r="F145" s="1" t="s">
        <v>90</v>
      </c>
      <c r="G145" s="1" t="s">
        <v>90</v>
      </c>
      <c r="H145" s="1" t="s">
        <v>90</v>
      </c>
      <c r="I145" s="1">
        <v>1</v>
      </c>
      <c r="J145" s="1" t="s">
        <v>542</v>
      </c>
      <c r="K145" s="1" t="s">
        <v>546</v>
      </c>
      <c r="L145" s="7" t="s">
        <v>180</v>
      </c>
      <c r="M145" t="s">
        <v>90</v>
      </c>
    </row>
    <row r="146" spans="1:13">
      <c r="A146" s="1">
        <v>3</v>
      </c>
      <c r="B146" s="1">
        <v>0</v>
      </c>
      <c r="C146" s="1">
        <v>5</v>
      </c>
      <c r="D146" t="s">
        <v>526</v>
      </c>
      <c r="E146" s="1">
        <v>-400</v>
      </c>
      <c r="F146" s="1">
        <f t="shared" si="20"/>
        <v>1</v>
      </c>
      <c r="G146" s="1" t="s">
        <v>9</v>
      </c>
      <c r="H146" s="1" t="s">
        <v>463</v>
      </c>
      <c r="I146" s="1">
        <v>1</v>
      </c>
      <c r="J146" s="1" t="s">
        <v>352</v>
      </c>
      <c r="K146" s="1" t="s">
        <v>547</v>
      </c>
      <c r="L146" s="7" t="s">
        <v>415</v>
      </c>
      <c r="M146" t="s">
        <v>90</v>
      </c>
    </row>
    <row r="147" spans="1:13">
      <c r="A147" s="1">
        <v>3</v>
      </c>
      <c r="B147" s="1">
        <v>0</v>
      </c>
      <c r="C147" s="1">
        <v>6</v>
      </c>
      <c r="D147" t="s">
        <v>527</v>
      </c>
      <c r="E147" s="1">
        <f t="shared" si="19"/>
        <v>400</v>
      </c>
      <c r="F147" s="1">
        <f t="shared" si="20"/>
        <v>2</v>
      </c>
      <c r="G147" s="1" t="s">
        <v>9</v>
      </c>
      <c r="H147" s="1" t="s">
        <v>90</v>
      </c>
      <c r="I147" s="1">
        <v>1</v>
      </c>
      <c r="J147" s="1" t="s">
        <v>352</v>
      </c>
      <c r="K147" s="1" t="s">
        <v>352</v>
      </c>
      <c r="L147" s="7" t="s">
        <v>182</v>
      </c>
      <c r="M147" t="s">
        <v>90</v>
      </c>
    </row>
    <row r="148" spans="1:13">
      <c r="A148" s="1">
        <v>3</v>
      </c>
      <c r="B148" s="1">
        <v>0</v>
      </c>
      <c r="C148" s="1">
        <v>7</v>
      </c>
      <c r="D148" s="1" t="s">
        <v>90</v>
      </c>
      <c r="E148" s="1" t="s">
        <v>90</v>
      </c>
      <c r="F148" s="1" t="s">
        <v>90</v>
      </c>
      <c r="G148" s="1" t="s">
        <v>90</v>
      </c>
      <c r="H148" s="1" t="s">
        <v>90</v>
      </c>
      <c r="I148" s="1">
        <v>1</v>
      </c>
      <c r="J148" s="1" t="s">
        <v>352</v>
      </c>
      <c r="K148" s="1" t="s">
        <v>352</v>
      </c>
      <c r="L148" s="7" t="s">
        <v>183</v>
      </c>
      <c r="M148" t="s">
        <v>90</v>
      </c>
    </row>
    <row r="149" spans="1:13">
      <c r="A149" s="1">
        <v>3</v>
      </c>
      <c r="B149" s="1">
        <v>0</v>
      </c>
      <c r="C149" s="1">
        <v>8</v>
      </c>
      <c r="D149" s="1" t="s">
        <v>90</v>
      </c>
      <c r="E149" s="1" t="s">
        <v>90</v>
      </c>
      <c r="F149" s="1" t="s">
        <v>90</v>
      </c>
      <c r="G149" s="1" t="s">
        <v>90</v>
      </c>
      <c r="H149" s="1" t="s">
        <v>90</v>
      </c>
      <c r="I149" s="1">
        <v>1</v>
      </c>
      <c r="J149" s="1" t="s">
        <v>352</v>
      </c>
      <c r="K149" s="1" t="s">
        <v>352</v>
      </c>
      <c r="L149" s="7" t="s">
        <v>416</v>
      </c>
      <c r="M149" t="s">
        <v>90</v>
      </c>
    </row>
    <row r="150" spans="1:13">
      <c r="A150" s="1">
        <v>3</v>
      </c>
      <c r="B150" s="1">
        <v>0</v>
      </c>
      <c r="C150" s="1">
        <v>9</v>
      </c>
      <c r="D150" s="1" t="s">
        <v>90</v>
      </c>
      <c r="E150" s="1" t="s">
        <v>90</v>
      </c>
      <c r="F150" s="1" t="s">
        <v>90</v>
      </c>
      <c r="G150" s="1" t="s">
        <v>90</v>
      </c>
      <c r="H150" s="1" t="s">
        <v>90</v>
      </c>
      <c r="I150" s="1">
        <v>1</v>
      </c>
      <c r="J150" s="1" t="s">
        <v>352</v>
      </c>
      <c r="K150" s="1" t="s">
        <v>352</v>
      </c>
      <c r="L150" s="7" t="s">
        <v>185</v>
      </c>
      <c r="M150" t="s">
        <v>90</v>
      </c>
    </row>
    <row r="151" spans="1:13">
      <c r="A151" s="1">
        <v>3</v>
      </c>
      <c r="B151" s="1">
        <v>0</v>
      </c>
      <c r="C151" s="1">
        <v>10</v>
      </c>
      <c r="D151" s="1" t="s">
        <v>90</v>
      </c>
      <c r="E151" s="1" t="s">
        <v>90</v>
      </c>
      <c r="F151" s="1" t="s">
        <v>90</v>
      </c>
      <c r="G151" s="1" t="s">
        <v>90</v>
      </c>
      <c r="H151" s="1" t="s">
        <v>90</v>
      </c>
      <c r="I151" s="1">
        <v>1</v>
      </c>
      <c r="J151" s="1" t="s">
        <v>90</v>
      </c>
      <c r="K151" s="1" t="s">
        <v>90</v>
      </c>
      <c r="L151" s="7" t="s">
        <v>417</v>
      </c>
      <c r="M151" t="s">
        <v>90</v>
      </c>
    </row>
    <row r="152" spans="1:13">
      <c r="A152" s="1">
        <v>3</v>
      </c>
      <c r="B152" s="1">
        <v>0</v>
      </c>
      <c r="C152" s="1">
        <v>11</v>
      </c>
      <c r="D152" s="1" t="s">
        <v>90</v>
      </c>
      <c r="E152" s="1" t="s">
        <v>90</v>
      </c>
      <c r="F152" s="1" t="s">
        <v>90</v>
      </c>
      <c r="G152" s="1" t="s">
        <v>90</v>
      </c>
      <c r="H152" s="1" t="s">
        <v>90</v>
      </c>
      <c r="I152" s="1">
        <v>1</v>
      </c>
      <c r="J152" s="1" t="s">
        <v>90</v>
      </c>
      <c r="K152" s="1" t="s">
        <v>90</v>
      </c>
      <c r="L152" s="7" t="s">
        <v>418</v>
      </c>
      <c r="M152" t="s">
        <v>90</v>
      </c>
    </row>
    <row r="153" spans="1:13">
      <c r="A153" s="1">
        <v>3</v>
      </c>
      <c r="B153" s="1">
        <v>1</v>
      </c>
      <c r="C153" s="1">
        <v>1</v>
      </c>
      <c r="D153" t="s">
        <v>212</v>
      </c>
      <c r="E153" s="1">
        <f t="shared" ref="E153:E160" si="21">IF(D153="Kampara",-400,400)</f>
        <v>-400</v>
      </c>
      <c r="F153" s="1">
        <f t="shared" si="20"/>
        <v>1</v>
      </c>
      <c r="G153" s="1" t="s">
        <v>9</v>
      </c>
      <c r="H153" s="1" t="s">
        <v>464</v>
      </c>
      <c r="I153" s="1">
        <v>1</v>
      </c>
      <c r="J153" s="1" t="s">
        <v>354</v>
      </c>
      <c r="K153" s="1" t="s">
        <v>546</v>
      </c>
      <c r="L153" s="7" t="s">
        <v>398</v>
      </c>
      <c r="M153" t="s">
        <v>90</v>
      </c>
    </row>
    <row r="154" spans="1:13">
      <c r="A154" s="1">
        <v>3</v>
      </c>
      <c r="B154" s="1">
        <v>1</v>
      </c>
      <c r="C154" s="1">
        <v>2</v>
      </c>
      <c r="D154" t="s">
        <v>212</v>
      </c>
      <c r="E154" s="1">
        <f t="shared" si="21"/>
        <v>-400</v>
      </c>
      <c r="F154" s="1">
        <f t="shared" si="20"/>
        <v>1</v>
      </c>
      <c r="G154" s="1" t="s">
        <v>9</v>
      </c>
      <c r="H154" s="1" t="s">
        <v>464</v>
      </c>
      <c r="I154" s="1">
        <v>1</v>
      </c>
      <c r="J154" s="1" t="s">
        <v>352</v>
      </c>
      <c r="K154" s="1" t="s">
        <v>352</v>
      </c>
      <c r="L154" s="7" t="s">
        <v>187</v>
      </c>
      <c r="M154" t="s">
        <v>90</v>
      </c>
    </row>
    <row r="155" spans="1:13">
      <c r="A155" s="1">
        <v>3</v>
      </c>
      <c r="B155" s="1">
        <v>1</v>
      </c>
      <c r="C155" s="1">
        <v>3</v>
      </c>
      <c r="D155" t="s">
        <v>212</v>
      </c>
      <c r="E155" s="1">
        <f t="shared" si="21"/>
        <v>-400</v>
      </c>
      <c r="F155" s="1">
        <f t="shared" si="20"/>
        <v>1</v>
      </c>
      <c r="G155" s="1" t="s">
        <v>9</v>
      </c>
      <c r="H155" s="1" t="s">
        <v>464</v>
      </c>
      <c r="I155" s="1">
        <v>1</v>
      </c>
      <c r="J155" s="1" t="s">
        <v>352</v>
      </c>
      <c r="K155" s="1" t="s">
        <v>352</v>
      </c>
      <c r="L155" s="7" t="s">
        <v>189</v>
      </c>
      <c r="M155" t="s">
        <v>90</v>
      </c>
    </row>
    <row r="156" spans="1:13">
      <c r="A156" s="1">
        <v>3</v>
      </c>
      <c r="B156" s="1">
        <v>1</v>
      </c>
      <c r="C156" s="1">
        <v>4</v>
      </c>
      <c r="D156" t="s">
        <v>212</v>
      </c>
      <c r="E156" s="1">
        <f t="shared" si="21"/>
        <v>-400</v>
      </c>
      <c r="F156" s="1">
        <f t="shared" si="20"/>
        <v>1</v>
      </c>
      <c r="G156" s="1" t="s">
        <v>9</v>
      </c>
      <c r="H156" s="1" t="s">
        <v>464</v>
      </c>
      <c r="I156" s="1">
        <v>1</v>
      </c>
      <c r="J156" s="1" t="s">
        <v>352</v>
      </c>
      <c r="K156" s="1" t="s">
        <v>352</v>
      </c>
      <c r="L156" s="7" t="s">
        <v>190</v>
      </c>
      <c r="M156" t="s">
        <v>90</v>
      </c>
    </row>
    <row r="157" spans="1:13">
      <c r="A157" s="1">
        <v>3</v>
      </c>
      <c r="B157" s="1">
        <v>1</v>
      </c>
      <c r="C157" s="1">
        <v>5</v>
      </c>
      <c r="D157" t="s">
        <v>214</v>
      </c>
      <c r="E157" s="1">
        <f t="shared" si="21"/>
        <v>400</v>
      </c>
      <c r="F157" s="1">
        <f t="shared" si="20"/>
        <v>2</v>
      </c>
      <c r="G157" s="1" t="s">
        <v>9</v>
      </c>
      <c r="H157" s="1" t="s">
        <v>465</v>
      </c>
      <c r="I157" s="1">
        <v>1</v>
      </c>
      <c r="J157" s="1" t="s">
        <v>352</v>
      </c>
      <c r="K157" s="1" t="s">
        <v>352</v>
      </c>
      <c r="L157" s="7" t="s">
        <v>191</v>
      </c>
      <c r="M157" t="s">
        <v>90</v>
      </c>
    </row>
    <row r="158" spans="1:13">
      <c r="A158" s="1">
        <v>3</v>
      </c>
      <c r="B158" s="1">
        <v>1</v>
      </c>
      <c r="C158" s="1">
        <v>6</v>
      </c>
      <c r="D158" t="s">
        <v>212</v>
      </c>
      <c r="E158" s="1">
        <f t="shared" si="21"/>
        <v>-400</v>
      </c>
      <c r="F158" s="1">
        <f t="shared" si="20"/>
        <v>1</v>
      </c>
      <c r="G158" s="1" t="s">
        <v>211</v>
      </c>
      <c r="H158" s="1" t="s">
        <v>464</v>
      </c>
      <c r="I158" s="1">
        <v>1</v>
      </c>
      <c r="J158" s="1" t="s">
        <v>352</v>
      </c>
      <c r="K158" s="1" t="s">
        <v>352</v>
      </c>
      <c r="L158" s="7" t="s">
        <v>45</v>
      </c>
      <c r="M158" t="s">
        <v>90</v>
      </c>
    </row>
    <row r="159" spans="1:13">
      <c r="A159" s="1">
        <v>3</v>
      </c>
      <c r="B159" s="1">
        <v>1</v>
      </c>
      <c r="C159" s="1">
        <v>7</v>
      </c>
      <c r="D159" t="s">
        <v>212</v>
      </c>
      <c r="E159" s="1">
        <f t="shared" si="21"/>
        <v>-400</v>
      </c>
      <c r="F159" s="1">
        <f t="shared" si="20"/>
        <v>1</v>
      </c>
      <c r="G159" s="1" t="s">
        <v>211</v>
      </c>
      <c r="H159" s="1" t="s">
        <v>464</v>
      </c>
      <c r="I159" s="1">
        <v>1</v>
      </c>
      <c r="J159" s="1" t="s">
        <v>550</v>
      </c>
      <c r="K159" s="1" t="s">
        <v>548</v>
      </c>
      <c r="L159" s="7" t="s">
        <v>192</v>
      </c>
      <c r="M159" t="s">
        <v>90</v>
      </c>
    </row>
    <row r="160" spans="1:13">
      <c r="A160" s="1">
        <v>3</v>
      </c>
      <c r="B160" s="1">
        <v>1</v>
      </c>
      <c r="C160" s="1">
        <v>8</v>
      </c>
      <c r="D160" t="s">
        <v>212</v>
      </c>
      <c r="E160" s="1">
        <f t="shared" si="21"/>
        <v>-400</v>
      </c>
      <c r="F160" s="1">
        <f t="shared" si="20"/>
        <v>1</v>
      </c>
      <c r="G160" s="1" t="s">
        <v>211</v>
      </c>
      <c r="H160" s="1" t="s">
        <v>464</v>
      </c>
      <c r="I160" s="1">
        <v>1</v>
      </c>
      <c r="J160" s="1" t="s">
        <v>354</v>
      </c>
      <c r="K160" s="1" t="s">
        <v>549</v>
      </c>
      <c r="L160" s="7" t="s">
        <v>193</v>
      </c>
      <c r="M160" t="s">
        <v>90</v>
      </c>
    </row>
    <row r="161" spans="1:13">
      <c r="A161" s="1">
        <v>3</v>
      </c>
      <c r="B161" s="1">
        <v>1</v>
      </c>
      <c r="C161" s="1">
        <v>9</v>
      </c>
      <c r="D161" s="1" t="s">
        <v>90</v>
      </c>
      <c r="E161" s="1" t="s">
        <v>90</v>
      </c>
      <c r="F161" s="1" t="s">
        <v>90</v>
      </c>
      <c r="G161" s="1" t="s">
        <v>90</v>
      </c>
      <c r="H161" s="1" t="s">
        <v>90</v>
      </c>
      <c r="I161" s="1">
        <v>1</v>
      </c>
      <c r="J161" s="1" t="s">
        <v>352</v>
      </c>
      <c r="K161" s="1" t="s">
        <v>352</v>
      </c>
      <c r="L161" s="7" t="s">
        <v>194</v>
      </c>
      <c r="M161" t="s">
        <v>90</v>
      </c>
    </row>
    <row r="162" spans="1:13">
      <c r="A162" s="1">
        <v>3</v>
      </c>
      <c r="B162" s="1">
        <v>1</v>
      </c>
      <c r="C162" s="1">
        <v>10</v>
      </c>
      <c r="D162" s="1" t="s">
        <v>90</v>
      </c>
      <c r="E162" s="1" t="s">
        <v>90</v>
      </c>
      <c r="F162" s="1" t="s">
        <v>90</v>
      </c>
      <c r="G162" s="1" t="s">
        <v>90</v>
      </c>
      <c r="H162" s="1" t="s">
        <v>90</v>
      </c>
      <c r="I162" s="1">
        <v>1</v>
      </c>
      <c r="J162" s="1" t="s">
        <v>352</v>
      </c>
      <c r="K162" s="1" t="s">
        <v>352</v>
      </c>
      <c r="L162" s="7" t="s">
        <v>195</v>
      </c>
      <c r="M162" t="s">
        <v>90</v>
      </c>
    </row>
    <row r="163" spans="1:13">
      <c r="A163" s="1">
        <v>3</v>
      </c>
      <c r="B163" s="1">
        <v>1</v>
      </c>
      <c r="C163" s="1">
        <v>11</v>
      </c>
      <c r="D163" t="s">
        <v>212</v>
      </c>
      <c r="E163" s="1">
        <f t="shared" ref="E163:E164" si="22">IF(D163="Kampara",-400,400)</f>
        <v>-400</v>
      </c>
      <c r="F163" s="1">
        <f t="shared" si="20"/>
        <v>1</v>
      </c>
      <c r="G163" s="1" t="s">
        <v>211</v>
      </c>
      <c r="H163" s="1" t="s">
        <v>464</v>
      </c>
      <c r="I163" s="1">
        <v>1</v>
      </c>
      <c r="J163" s="1" t="s">
        <v>352</v>
      </c>
      <c r="K163" s="1" t="s">
        <v>352</v>
      </c>
      <c r="L163" s="7" t="s">
        <v>420</v>
      </c>
      <c r="M163" t="s">
        <v>90</v>
      </c>
    </row>
    <row r="164" spans="1:13">
      <c r="A164" s="1">
        <v>3</v>
      </c>
      <c r="B164" s="1">
        <v>1</v>
      </c>
      <c r="C164" s="1">
        <v>12</v>
      </c>
      <c r="D164" t="s">
        <v>214</v>
      </c>
      <c r="E164" s="1">
        <f t="shared" si="22"/>
        <v>400</v>
      </c>
      <c r="F164" s="1">
        <f t="shared" si="20"/>
        <v>2</v>
      </c>
      <c r="G164" s="1" t="s">
        <v>9</v>
      </c>
      <c r="H164" s="1" t="s">
        <v>456</v>
      </c>
      <c r="I164" s="1">
        <v>1</v>
      </c>
      <c r="J164" s="1" t="s">
        <v>352</v>
      </c>
      <c r="K164" s="1" t="s">
        <v>352</v>
      </c>
      <c r="L164" s="7" t="s">
        <v>197</v>
      </c>
      <c r="M164" t="s">
        <v>90</v>
      </c>
    </row>
    <row r="165" spans="1:13">
      <c r="A165" s="1">
        <v>3</v>
      </c>
      <c r="B165" s="1">
        <v>1</v>
      </c>
      <c r="C165" s="1">
        <v>13</v>
      </c>
      <c r="D165" t="s">
        <v>242</v>
      </c>
      <c r="E165" s="1">
        <f>IF(D165="Kampara",-400,400)</f>
        <v>400</v>
      </c>
      <c r="F165" s="1">
        <f t="shared" si="20"/>
        <v>2</v>
      </c>
      <c r="G165" s="1" t="s">
        <v>9</v>
      </c>
      <c r="H165" s="1" t="s">
        <v>467</v>
      </c>
      <c r="I165" s="1">
        <v>1</v>
      </c>
      <c r="J165" s="1" t="s">
        <v>352</v>
      </c>
      <c r="K165" s="1" t="s">
        <v>352</v>
      </c>
      <c r="L165" s="7" t="s">
        <v>419</v>
      </c>
      <c r="M165" t="s">
        <v>90</v>
      </c>
    </row>
    <row r="166" spans="1:13">
      <c r="A166" s="1">
        <v>3</v>
      </c>
      <c r="B166" s="1">
        <v>1</v>
      </c>
      <c r="C166" s="1">
        <v>14</v>
      </c>
      <c r="D166" t="s">
        <v>242</v>
      </c>
      <c r="E166" s="1">
        <f t="shared" ref="E166:E179" si="23">IF(D166="Kampara",-400,400)</f>
        <v>400</v>
      </c>
      <c r="F166" s="1">
        <f t="shared" si="20"/>
        <v>2</v>
      </c>
      <c r="G166" s="1" t="s">
        <v>9</v>
      </c>
      <c r="H166" s="1" t="s">
        <v>467</v>
      </c>
      <c r="I166" s="1">
        <v>1</v>
      </c>
      <c r="J166" s="1" t="s">
        <v>352</v>
      </c>
      <c r="K166" s="1" t="s">
        <v>352</v>
      </c>
      <c r="L166" s="7" t="s">
        <v>199</v>
      </c>
      <c r="M166" t="s">
        <v>90</v>
      </c>
    </row>
    <row r="167" spans="1:13">
      <c r="A167" s="1">
        <v>3</v>
      </c>
      <c r="B167" s="1">
        <v>1</v>
      </c>
      <c r="C167" s="1">
        <v>15</v>
      </c>
      <c r="D167" t="s">
        <v>242</v>
      </c>
      <c r="E167" s="1">
        <f t="shared" si="23"/>
        <v>400</v>
      </c>
      <c r="F167" s="1">
        <f t="shared" si="20"/>
        <v>2</v>
      </c>
      <c r="G167" s="1" t="s">
        <v>9</v>
      </c>
      <c r="H167" s="1" t="s">
        <v>468</v>
      </c>
      <c r="I167" s="1">
        <v>1</v>
      </c>
      <c r="J167" s="1" t="s">
        <v>352</v>
      </c>
      <c r="K167" s="1" t="s">
        <v>352</v>
      </c>
      <c r="L167" s="7" t="s">
        <v>200</v>
      </c>
      <c r="M167" t="s">
        <v>90</v>
      </c>
    </row>
    <row r="168" spans="1:13">
      <c r="A168" s="1">
        <v>3</v>
      </c>
      <c r="B168" s="1">
        <v>1</v>
      </c>
      <c r="C168" s="1">
        <v>16</v>
      </c>
      <c r="D168" t="s">
        <v>214</v>
      </c>
      <c r="E168" s="1">
        <f t="shared" si="23"/>
        <v>400</v>
      </c>
      <c r="F168" s="1">
        <f t="shared" si="20"/>
        <v>2</v>
      </c>
      <c r="G168" s="1" t="s">
        <v>9</v>
      </c>
      <c r="H168" s="1" t="s">
        <v>469</v>
      </c>
      <c r="I168" s="1">
        <v>1</v>
      </c>
      <c r="J168" s="1" t="s">
        <v>352</v>
      </c>
      <c r="K168" s="1" t="s">
        <v>352</v>
      </c>
      <c r="L168" s="7" t="s">
        <v>201</v>
      </c>
      <c r="M168" t="s">
        <v>90</v>
      </c>
    </row>
    <row r="169" spans="1:13">
      <c r="A169" s="1">
        <v>3</v>
      </c>
      <c r="B169" s="1">
        <v>1</v>
      </c>
      <c r="C169" s="1">
        <v>17</v>
      </c>
      <c r="D169" t="s">
        <v>242</v>
      </c>
      <c r="E169" s="1">
        <f t="shared" si="23"/>
        <v>400</v>
      </c>
      <c r="F169" s="1">
        <f t="shared" si="20"/>
        <v>2</v>
      </c>
      <c r="G169" s="1" t="s">
        <v>9</v>
      </c>
      <c r="H169" s="1" t="s">
        <v>467</v>
      </c>
      <c r="I169" s="1">
        <v>1</v>
      </c>
      <c r="J169" s="1" t="s">
        <v>352</v>
      </c>
      <c r="K169" s="1" t="s">
        <v>352</v>
      </c>
      <c r="L169" s="7" t="s">
        <v>202</v>
      </c>
      <c r="M169" t="s">
        <v>90</v>
      </c>
    </row>
    <row r="170" spans="1:13">
      <c r="A170" s="1">
        <v>3</v>
      </c>
      <c r="B170" s="1">
        <v>1</v>
      </c>
      <c r="C170" s="1">
        <v>18</v>
      </c>
      <c r="D170" t="s">
        <v>242</v>
      </c>
      <c r="E170" s="1">
        <f t="shared" si="23"/>
        <v>400</v>
      </c>
      <c r="F170" s="1">
        <f t="shared" si="20"/>
        <v>2</v>
      </c>
      <c r="G170" s="1" t="s">
        <v>9</v>
      </c>
      <c r="H170" s="1" t="s">
        <v>471</v>
      </c>
      <c r="I170" s="1">
        <v>1</v>
      </c>
      <c r="J170" s="1" t="s">
        <v>352</v>
      </c>
      <c r="K170" s="1" t="s">
        <v>352</v>
      </c>
      <c r="L170" s="7" t="s">
        <v>203</v>
      </c>
      <c r="M170" t="s">
        <v>90</v>
      </c>
    </row>
    <row r="171" spans="1:13">
      <c r="A171" s="1">
        <v>3</v>
      </c>
      <c r="B171" s="1">
        <v>1</v>
      </c>
      <c r="C171" s="1">
        <v>19</v>
      </c>
      <c r="D171" t="s">
        <v>214</v>
      </c>
      <c r="E171" s="1">
        <f t="shared" si="23"/>
        <v>400</v>
      </c>
      <c r="F171" s="1">
        <f t="shared" si="20"/>
        <v>2</v>
      </c>
      <c r="G171" s="1" t="s">
        <v>9</v>
      </c>
      <c r="H171" s="1" t="s">
        <v>470</v>
      </c>
      <c r="I171" s="1">
        <v>1</v>
      </c>
      <c r="J171" s="1" t="s">
        <v>352</v>
      </c>
      <c r="K171" s="1" t="s">
        <v>352</v>
      </c>
      <c r="L171" s="7" t="s">
        <v>204</v>
      </c>
      <c r="M171" t="s">
        <v>90</v>
      </c>
    </row>
    <row r="172" spans="1:13">
      <c r="A172" s="1">
        <v>3</v>
      </c>
      <c r="B172" s="1">
        <v>1</v>
      </c>
      <c r="C172" s="1">
        <v>20</v>
      </c>
      <c r="D172" t="s">
        <v>242</v>
      </c>
      <c r="E172" s="1">
        <f t="shared" si="23"/>
        <v>400</v>
      </c>
      <c r="F172" s="1">
        <f t="shared" si="20"/>
        <v>2</v>
      </c>
      <c r="G172" s="1" t="s">
        <v>9</v>
      </c>
      <c r="H172" s="1" t="s">
        <v>466</v>
      </c>
      <c r="I172" s="1">
        <v>1</v>
      </c>
      <c r="J172" s="1" t="s">
        <v>352</v>
      </c>
      <c r="K172" s="1" t="s">
        <v>352</v>
      </c>
      <c r="L172" s="7" t="s">
        <v>205</v>
      </c>
      <c r="M172" t="s">
        <v>90</v>
      </c>
    </row>
    <row r="173" spans="1:13">
      <c r="A173" s="1">
        <v>3</v>
      </c>
      <c r="B173" s="1">
        <v>1</v>
      </c>
      <c r="C173" s="1">
        <v>21</v>
      </c>
      <c r="D173" t="s">
        <v>214</v>
      </c>
      <c r="E173" s="1">
        <f t="shared" si="23"/>
        <v>400</v>
      </c>
      <c r="F173" s="1">
        <f t="shared" si="20"/>
        <v>2</v>
      </c>
      <c r="G173" s="1" t="s">
        <v>9</v>
      </c>
      <c r="H173" s="1" t="s">
        <v>456</v>
      </c>
      <c r="I173" s="1">
        <v>1</v>
      </c>
      <c r="J173" s="1" t="s">
        <v>352</v>
      </c>
      <c r="K173" s="1" t="s">
        <v>352</v>
      </c>
      <c r="L173" s="7" t="s">
        <v>372</v>
      </c>
      <c r="M173" t="s">
        <v>90</v>
      </c>
    </row>
    <row r="174" spans="1:13">
      <c r="A174" s="1">
        <v>3</v>
      </c>
      <c r="B174" s="1">
        <v>1</v>
      </c>
      <c r="C174" s="1">
        <v>22</v>
      </c>
      <c r="D174" t="s">
        <v>528</v>
      </c>
      <c r="E174" s="1">
        <f t="shared" si="23"/>
        <v>400</v>
      </c>
      <c r="F174" s="1">
        <f t="shared" si="20"/>
        <v>2</v>
      </c>
      <c r="G174" s="1" t="s">
        <v>9</v>
      </c>
      <c r="H174" s="1" t="s">
        <v>466</v>
      </c>
      <c r="I174" s="1">
        <v>1</v>
      </c>
      <c r="J174" s="1" t="s">
        <v>352</v>
      </c>
      <c r="K174" s="1" t="s">
        <v>352</v>
      </c>
      <c r="L174" s="7" t="s">
        <v>207</v>
      </c>
      <c r="M174" t="s">
        <v>90</v>
      </c>
    </row>
    <row r="175" spans="1:13">
      <c r="A175" s="1">
        <v>3</v>
      </c>
      <c r="B175" s="1">
        <v>1</v>
      </c>
      <c r="C175" s="1">
        <v>23</v>
      </c>
      <c r="D175" t="s">
        <v>214</v>
      </c>
      <c r="E175" s="1">
        <f t="shared" si="23"/>
        <v>400</v>
      </c>
      <c r="F175" s="1">
        <f t="shared" si="20"/>
        <v>2</v>
      </c>
      <c r="G175" s="1" t="s">
        <v>9</v>
      </c>
      <c r="H175" s="1" t="s">
        <v>456</v>
      </c>
      <c r="I175" s="1">
        <v>1</v>
      </c>
      <c r="J175" s="1" t="s">
        <v>352</v>
      </c>
      <c r="K175" s="1" t="s">
        <v>352</v>
      </c>
      <c r="L175" s="7" t="s">
        <v>208</v>
      </c>
      <c r="M175" t="s">
        <v>90</v>
      </c>
    </row>
    <row r="176" spans="1:13">
      <c r="A176" s="1">
        <v>3</v>
      </c>
      <c r="B176" s="1">
        <v>1</v>
      </c>
      <c r="C176" s="1">
        <v>24</v>
      </c>
      <c r="D176" t="s">
        <v>212</v>
      </c>
      <c r="E176" s="1">
        <f t="shared" si="23"/>
        <v>-400</v>
      </c>
      <c r="F176" s="1">
        <f t="shared" si="20"/>
        <v>1</v>
      </c>
      <c r="G176" s="1" t="s">
        <v>9</v>
      </c>
      <c r="H176" s="1" t="s">
        <v>472</v>
      </c>
      <c r="I176" s="1">
        <v>1</v>
      </c>
      <c r="J176" s="1" t="s">
        <v>352</v>
      </c>
      <c r="K176" s="1" t="s">
        <v>352</v>
      </c>
      <c r="L176" s="7" t="s">
        <v>209</v>
      </c>
      <c r="M176" t="s">
        <v>90</v>
      </c>
    </row>
    <row r="177" spans="1:13">
      <c r="A177" s="1">
        <v>3</v>
      </c>
      <c r="B177" s="1">
        <v>1</v>
      </c>
      <c r="C177" s="1">
        <v>25</v>
      </c>
      <c r="D177" t="s">
        <v>212</v>
      </c>
      <c r="E177" s="1">
        <f t="shared" si="23"/>
        <v>-400</v>
      </c>
      <c r="F177" s="1">
        <f t="shared" si="20"/>
        <v>1</v>
      </c>
      <c r="G177" s="1" t="s">
        <v>9</v>
      </c>
      <c r="H177" s="1" t="s">
        <v>473</v>
      </c>
      <c r="I177" s="1">
        <v>1</v>
      </c>
      <c r="J177" s="1" t="s">
        <v>352</v>
      </c>
      <c r="K177" s="1" t="s">
        <v>352</v>
      </c>
      <c r="L177" s="7" t="s">
        <v>210</v>
      </c>
      <c r="M177" t="s">
        <v>90</v>
      </c>
    </row>
    <row r="178" spans="1:13">
      <c r="A178" s="1">
        <v>4</v>
      </c>
      <c r="B178" s="1">
        <v>0</v>
      </c>
      <c r="C178" s="1">
        <v>1</v>
      </c>
      <c r="D178" t="s">
        <v>120</v>
      </c>
      <c r="E178" s="1">
        <f t="shared" si="23"/>
        <v>400</v>
      </c>
      <c r="F178" s="1">
        <f t="shared" si="20"/>
        <v>2</v>
      </c>
      <c r="G178" s="1" t="s">
        <v>530</v>
      </c>
      <c r="H178" s="1" t="s">
        <v>474</v>
      </c>
      <c r="I178" s="1">
        <v>1</v>
      </c>
      <c r="J178" s="1" t="s">
        <v>352</v>
      </c>
      <c r="K178" s="1" t="s">
        <v>352</v>
      </c>
      <c r="L178" s="7" t="s">
        <v>218</v>
      </c>
      <c r="M178" t="s">
        <v>90</v>
      </c>
    </row>
    <row r="179" spans="1:13">
      <c r="A179" s="1">
        <v>4</v>
      </c>
      <c r="B179" s="1">
        <v>0</v>
      </c>
      <c r="C179" s="1">
        <v>2</v>
      </c>
      <c r="D179" t="s">
        <v>242</v>
      </c>
      <c r="E179" s="1">
        <f t="shared" si="23"/>
        <v>400</v>
      </c>
      <c r="F179" s="1">
        <f t="shared" si="20"/>
        <v>2</v>
      </c>
      <c r="G179" s="1" t="s">
        <v>244</v>
      </c>
      <c r="H179" s="1" t="s">
        <v>475</v>
      </c>
      <c r="I179" s="1">
        <v>1</v>
      </c>
      <c r="J179" s="1" t="s">
        <v>352</v>
      </c>
      <c r="K179" s="1" t="s">
        <v>352</v>
      </c>
      <c r="L179" s="7" t="s">
        <v>219</v>
      </c>
      <c r="M179" t="s">
        <v>90</v>
      </c>
    </row>
    <row r="180" spans="1:13">
      <c r="A180" s="1">
        <v>4</v>
      </c>
      <c r="B180" s="1">
        <v>0</v>
      </c>
      <c r="C180" s="1">
        <v>3</v>
      </c>
      <c r="D180" s="1" t="s">
        <v>90</v>
      </c>
      <c r="E180" s="1" t="s">
        <v>90</v>
      </c>
      <c r="F180" s="1" t="s">
        <v>90</v>
      </c>
      <c r="G180" s="1" t="s">
        <v>90</v>
      </c>
      <c r="H180" s="1" t="s">
        <v>90</v>
      </c>
      <c r="I180" s="1">
        <v>1</v>
      </c>
      <c r="J180" s="1" t="s">
        <v>352</v>
      </c>
      <c r="K180" s="1" t="s">
        <v>352</v>
      </c>
      <c r="L180" s="7" t="s">
        <v>220</v>
      </c>
      <c r="M180" t="s">
        <v>90</v>
      </c>
    </row>
    <row r="181" spans="1:13">
      <c r="A181" s="1">
        <v>4</v>
      </c>
      <c r="B181" s="1">
        <v>0</v>
      </c>
      <c r="C181" s="1">
        <v>4</v>
      </c>
      <c r="D181" t="s">
        <v>120</v>
      </c>
      <c r="E181" s="1">
        <f>IF(D181="Kampara",-400,400)</f>
        <v>400</v>
      </c>
      <c r="F181" s="1">
        <f t="shared" si="20"/>
        <v>2</v>
      </c>
      <c r="G181" s="1" t="s">
        <v>529</v>
      </c>
      <c r="H181" s="1" t="s">
        <v>456</v>
      </c>
      <c r="I181" s="1">
        <v>1</v>
      </c>
      <c r="J181" s="1" t="s">
        <v>352</v>
      </c>
      <c r="K181" s="1" t="s">
        <v>352</v>
      </c>
      <c r="L181" s="7" t="s">
        <v>221</v>
      </c>
      <c r="M181" t="s">
        <v>90</v>
      </c>
    </row>
    <row r="182" spans="1:13">
      <c r="A182" s="1">
        <v>4</v>
      </c>
      <c r="B182" s="1">
        <v>0</v>
      </c>
      <c r="C182" s="1">
        <v>5</v>
      </c>
      <c r="D182" s="1" t="s">
        <v>90</v>
      </c>
      <c r="E182" s="1" t="s">
        <v>90</v>
      </c>
      <c r="F182" s="1" t="s">
        <v>90</v>
      </c>
      <c r="G182" s="1" t="s">
        <v>90</v>
      </c>
      <c r="H182" s="1" t="s">
        <v>90</v>
      </c>
      <c r="I182" s="1">
        <v>1</v>
      </c>
      <c r="J182" s="1" t="s">
        <v>352</v>
      </c>
      <c r="K182" s="1" t="s">
        <v>352</v>
      </c>
      <c r="L182" s="7" t="s">
        <v>222</v>
      </c>
      <c r="M182" t="s">
        <v>90</v>
      </c>
    </row>
    <row r="183" spans="1:13">
      <c r="A183" s="1">
        <v>4</v>
      </c>
      <c r="B183" s="1">
        <v>0</v>
      </c>
      <c r="C183" s="1">
        <v>6</v>
      </c>
      <c r="D183" t="s">
        <v>242</v>
      </c>
      <c r="E183" s="1">
        <f t="shared" ref="E183:E188" si="24">IF(D183="Kampara",-400,400)</f>
        <v>400</v>
      </c>
      <c r="F183" s="1">
        <f t="shared" si="20"/>
        <v>2</v>
      </c>
      <c r="G183" t="s">
        <v>245</v>
      </c>
      <c r="H183" s="1" t="s">
        <v>476</v>
      </c>
      <c r="I183" s="1">
        <v>1</v>
      </c>
      <c r="J183" s="1" t="s">
        <v>352</v>
      </c>
      <c r="K183" s="1" t="s">
        <v>352</v>
      </c>
      <c r="L183" s="7" t="s">
        <v>421</v>
      </c>
      <c r="M183" t="s">
        <v>90</v>
      </c>
    </row>
    <row r="184" spans="1:13">
      <c r="A184" s="1">
        <v>4</v>
      </c>
      <c r="B184" s="1">
        <v>0</v>
      </c>
      <c r="C184" s="1">
        <v>7</v>
      </c>
      <c r="D184" t="s">
        <v>120</v>
      </c>
      <c r="E184" s="1">
        <f t="shared" si="24"/>
        <v>400</v>
      </c>
      <c r="F184" s="1">
        <f t="shared" si="20"/>
        <v>2</v>
      </c>
      <c r="G184" s="1" t="s">
        <v>9</v>
      </c>
      <c r="H184" s="1" t="s">
        <v>465</v>
      </c>
      <c r="I184" s="1">
        <v>1</v>
      </c>
      <c r="J184" s="1" t="s">
        <v>352</v>
      </c>
      <c r="K184" s="1" t="s">
        <v>352</v>
      </c>
      <c r="L184" s="7" t="s">
        <v>224</v>
      </c>
      <c r="M184" t="s">
        <v>90</v>
      </c>
    </row>
    <row r="185" spans="1:13">
      <c r="A185" s="1">
        <v>4</v>
      </c>
      <c r="B185" s="1">
        <v>0</v>
      </c>
      <c r="C185" s="1">
        <v>8</v>
      </c>
      <c r="D185" t="s">
        <v>120</v>
      </c>
      <c r="E185" s="1">
        <f t="shared" si="24"/>
        <v>400</v>
      </c>
      <c r="F185" s="1">
        <f t="shared" si="20"/>
        <v>2</v>
      </c>
      <c r="G185" s="1" t="s">
        <v>9</v>
      </c>
      <c r="H185" s="1" t="s">
        <v>477</v>
      </c>
      <c r="I185" s="1">
        <v>1</v>
      </c>
      <c r="J185" s="1" t="s">
        <v>352</v>
      </c>
      <c r="K185" s="1" t="s">
        <v>352</v>
      </c>
      <c r="L185" s="7" t="s">
        <v>225</v>
      </c>
      <c r="M185" t="s">
        <v>90</v>
      </c>
    </row>
    <row r="186" spans="1:13">
      <c r="A186" s="1">
        <v>4</v>
      </c>
      <c r="B186" s="1">
        <v>0</v>
      </c>
      <c r="C186" s="1">
        <v>9</v>
      </c>
      <c r="D186" t="s">
        <v>212</v>
      </c>
      <c r="E186" s="1">
        <f t="shared" si="24"/>
        <v>-400</v>
      </c>
      <c r="F186" s="1">
        <f t="shared" si="20"/>
        <v>1</v>
      </c>
      <c r="G186" t="s">
        <v>245</v>
      </c>
      <c r="H186" s="1" t="s">
        <v>478</v>
      </c>
      <c r="I186" s="1">
        <v>1</v>
      </c>
      <c r="J186" s="1" t="s">
        <v>352</v>
      </c>
      <c r="K186" s="1" t="s">
        <v>352</v>
      </c>
      <c r="L186" s="7" t="s">
        <v>226</v>
      </c>
      <c r="M186" t="s">
        <v>90</v>
      </c>
    </row>
    <row r="187" spans="1:13">
      <c r="A187" s="1">
        <v>4</v>
      </c>
      <c r="B187" s="1">
        <v>0</v>
      </c>
      <c r="C187" s="1">
        <v>10</v>
      </c>
      <c r="D187" t="s">
        <v>242</v>
      </c>
      <c r="E187" s="1">
        <f t="shared" si="24"/>
        <v>400</v>
      </c>
      <c r="F187" s="1">
        <f t="shared" si="20"/>
        <v>2</v>
      </c>
      <c r="G187" t="s">
        <v>246</v>
      </c>
      <c r="H187" s="1" t="s">
        <v>479</v>
      </c>
      <c r="I187" s="1">
        <v>1</v>
      </c>
      <c r="J187" s="1" t="s">
        <v>352</v>
      </c>
      <c r="K187" s="1" t="s">
        <v>352</v>
      </c>
      <c r="L187" s="7" t="s">
        <v>422</v>
      </c>
      <c r="M187" t="s">
        <v>90</v>
      </c>
    </row>
    <row r="188" spans="1:13">
      <c r="A188" s="1">
        <v>4</v>
      </c>
      <c r="B188" s="1">
        <v>0</v>
      </c>
      <c r="C188" s="1">
        <v>11</v>
      </c>
      <c r="D188" t="s">
        <v>242</v>
      </c>
      <c r="E188" s="1">
        <f t="shared" si="24"/>
        <v>400</v>
      </c>
      <c r="F188" s="1">
        <f t="shared" si="20"/>
        <v>2</v>
      </c>
      <c r="G188" t="s">
        <v>246</v>
      </c>
      <c r="H188" s="1" t="s">
        <v>479</v>
      </c>
      <c r="I188" s="1">
        <v>1</v>
      </c>
      <c r="J188" s="1" t="s">
        <v>352</v>
      </c>
      <c r="K188" s="1" t="s">
        <v>352</v>
      </c>
      <c r="L188" s="7" t="s">
        <v>399</v>
      </c>
      <c r="M188" t="s">
        <v>90</v>
      </c>
    </row>
    <row r="189" spans="1:13">
      <c r="A189" s="1">
        <v>4</v>
      </c>
      <c r="B189" s="1">
        <v>0</v>
      </c>
      <c r="C189" s="1">
        <v>12</v>
      </c>
      <c r="D189" s="1" t="s">
        <v>90</v>
      </c>
      <c r="E189" s="1" t="s">
        <v>90</v>
      </c>
      <c r="F189" s="1" t="s">
        <v>90</v>
      </c>
      <c r="G189" s="1" t="s">
        <v>90</v>
      </c>
      <c r="H189" s="1" t="s">
        <v>90</v>
      </c>
      <c r="I189" s="1">
        <v>1</v>
      </c>
      <c r="J189" s="1" t="s">
        <v>352</v>
      </c>
      <c r="K189" s="1" t="s">
        <v>352</v>
      </c>
      <c r="L189" s="7" t="s">
        <v>228</v>
      </c>
      <c r="M189" t="s">
        <v>90</v>
      </c>
    </row>
    <row r="190" spans="1:13">
      <c r="A190" s="1">
        <v>4</v>
      </c>
      <c r="B190" s="1">
        <v>0</v>
      </c>
      <c r="C190" s="1">
        <v>13</v>
      </c>
      <c r="D190" t="s">
        <v>212</v>
      </c>
      <c r="E190" s="1">
        <f t="shared" ref="E190:E193" si="25">IF(D190="Kampara",-400,400)</f>
        <v>-400</v>
      </c>
      <c r="F190" s="1">
        <f t="shared" si="20"/>
        <v>1</v>
      </c>
      <c r="G190" t="s">
        <v>247</v>
      </c>
      <c r="H190" s="1" t="s">
        <v>480</v>
      </c>
      <c r="I190" s="1">
        <v>1</v>
      </c>
      <c r="J190" s="1" t="s">
        <v>352</v>
      </c>
      <c r="K190" s="1" t="s">
        <v>352</v>
      </c>
      <c r="L190" s="7" t="s">
        <v>400</v>
      </c>
      <c r="M190" t="s">
        <v>90</v>
      </c>
    </row>
    <row r="191" spans="1:13">
      <c r="A191" s="1">
        <v>4</v>
      </c>
      <c r="B191" s="1">
        <v>0</v>
      </c>
      <c r="C191" s="1">
        <v>14</v>
      </c>
      <c r="D191" t="s">
        <v>217</v>
      </c>
      <c r="E191" s="1">
        <f t="shared" si="25"/>
        <v>400</v>
      </c>
      <c r="F191" s="1">
        <f t="shared" si="20"/>
        <v>2</v>
      </c>
      <c r="G191" s="1" t="s">
        <v>9</v>
      </c>
      <c r="H191" s="1" t="s">
        <v>481</v>
      </c>
      <c r="I191" s="1">
        <v>1</v>
      </c>
      <c r="J191" s="1" t="s">
        <v>352</v>
      </c>
      <c r="K191" s="1" t="s">
        <v>352</v>
      </c>
      <c r="L191" s="7" t="s">
        <v>423</v>
      </c>
      <c r="M191" t="s">
        <v>90</v>
      </c>
    </row>
    <row r="192" spans="1:13">
      <c r="A192" s="1">
        <v>4</v>
      </c>
      <c r="B192" s="1">
        <v>0</v>
      </c>
      <c r="C192" s="1">
        <v>16</v>
      </c>
      <c r="D192" t="s">
        <v>217</v>
      </c>
      <c r="E192" s="1">
        <f t="shared" si="25"/>
        <v>400</v>
      </c>
      <c r="F192" s="1">
        <f t="shared" si="20"/>
        <v>2</v>
      </c>
      <c r="G192" s="1" t="s">
        <v>9</v>
      </c>
      <c r="H192" s="1" t="s">
        <v>481</v>
      </c>
      <c r="I192" s="1">
        <v>1</v>
      </c>
      <c r="J192" s="1" t="s">
        <v>352</v>
      </c>
      <c r="K192" s="1" t="s">
        <v>352</v>
      </c>
      <c r="L192" s="5" t="s">
        <v>424</v>
      </c>
      <c r="M192" t="s">
        <v>90</v>
      </c>
    </row>
    <row r="193" spans="1:13">
      <c r="A193" s="1">
        <v>4</v>
      </c>
      <c r="B193" s="1">
        <v>0</v>
      </c>
      <c r="C193" s="1">
        <v>17</v>
      </c>
      <c r="D193" t="s">
        <v>212</v>
      </c>
      <c r="E193" s="1">
        <f t="shared" si="25"/>
        <v>-400</v>
      </c>
      <c r="F193" s="1">
        <f t="shared" si="20"/>
        <v>1</v>
      </c>
      <c r="G193" s="1" t="s">
        <v>83</v>
      </c>
      <c r="H193" s="1" t="s">
        <v>480</v>
      </c>
      <c r="I193" s="1">
        <v>1</v>
      </c>
      <c r="J193" s="1" t="s">
        <v>352</v>
      </c>
      <c r="K193" s="1" t="s">
        <v>352</v>
      </c>
      <c r="L193" s="5" t="s">
        <v>425</v>
      </c>
      <c r="M193" t="s">
        <v>90</v>
      </c>
    </row>
    <row r="194" spans="1:13">
      <c r="A194" s="1">
        <v>4</v>
      </c>
      <c r="B194" s="1">
        <v>0</v>
      </c>
      <c r="C194" s="1">
        <v>18</v>
      </c>
      <c r="D194" s="1" t="s">
        <v>90</v>
      </c>
      <c r="E194" s="1" t="s">
        <v>90</v>
      </c>
      <c r="F194" s="1" t="s">
        <v>90</v>
      </c>
      <c r="G194" s="1" t="s">
        <v>90</v>
      </c>
      <c r="H194" s="1" t="s">
        <v>90</v>
      </c>
      <c r="I194" s="1">
        <v>1</v>
      </c>
      <c r="J194" s="1" t="s">
        <v>352</v>
      </c>
      <c r="K194" s="1" t="s">
        <v>352</v>
      </c>
      <c r="L194" s="5" t="s">
        <v>426</v>
      </c>
      <c r="M194" t="s">
        <v>90</v>
      </c>
    </row>
    <row r="195" spans="1:13">
      <c r="A195" s="1">
        <v>4</v>
      </c>
      <c r="B195" s="1">
        <v>1</v>
      </c>
      <c r="C195" s="1">
        <v>1</v>
      </c>
      <c r="D195" t="s">
        <v>301</v>
      </c>
      <c r="E195" s="1">
        <f t="shared" ref="E195:E196" si="26">IF(D195="Kampara",-400,400)</f>
        <v>400</v>
      </c>
      <c r="F195" s="1">
        <f t="shared" si="20"/>
        <v>2</v>
      </c>
      <c r="G195" s="1" t="s">
        <v>9</v>
      </c>
      <c r="H195" s="1" t="s">
        <v>456</v>
      </c>
      <c r="I195" s="1">
        <v>1</v>
      </c>
      <c r="J195" s="1" t="s">
        <v>352</v>
      </c>
      <c r="K195" s="1" t="s">
        <v>352</v>
      </c>
      <c r="L195" s="7" t="s">
        <v>248</v>
      </c>
      <c r="M195" t="s">
        <v>90</v>
      </c>
    </row>
    <row r="196" spans="1:13">
      <c r="A196" s="1">
        <v>4</v>
      </c>
      <c r="B196" s="1">
        <v>1</v>
      </c>
      <c r="C196" s="1">
        <v>2</v>
      </c>
      <c r="D196" t="s">
        <v>242</v>
      </c>
      <c r="E196" s="1">
        <f t="shared" si="26"/>
        <v>400</v>
      </c>
      <c r="F196" s="1">
        <f t="shared" si="20"/>
        <v>2</v>
      </c>
      <c r="G196" s="1" t="s">
        <v>244</v>
      </c>
      <c r="H196" s="1" t="s">
        <v>471</v>
      </c>
      <c r="I196" s="1">
        <v>1</v>
      </c>
      <c r="J196" s="1" t="s">
        <v>543</v>
      </c>
      <c r="K196" s="1" t="s">
        <v>549</v>
      </c>
      <c r="L196" s="7" t="s">
        <v>249</v>
      </c>
      <c r="M196" t="s">
        <v>90</v>
      </c>
    </row>
    <row r="197" spans="1:13">
      <c r="A197" s="1">
        <v>4</v>
      </c>
      <c r="B197" s="1">
        <v>1</v>
      </c>
      <c r="C197" s="1">
        <v>3</v>
      </c>
      <c r="D197" s="1" t="s">
        <v>90</v>
      </c>
      <c r="E197" s="1" t="s">
        <v>90</v>
      </c>
      <c r="F197" s="1" t="s">
        <v>90</v>
      </c>
      <c r="G197" s="1" t="s">
        <v>90</v>
      </c>
      <c r="H197" s="1" t="s">
        <v>90</v>
      </c>
      <c r="I197" s="1">
        <v>1</v>
      </c>
      <c r="J197" s="1" t="s">
        <v>352</v>
      </c>
      <c r="K197" s="1" t="s">
        <v>551</v>
      </c>
      <c r="L197" s="7" t="s">
        <v>250</v>
      </c>
      <c r="M197" t="s">
        <v>90</v>
      </c>
    </row>
    <row r="198" spans="1:13">
      <c r="A198" s="1">
        <v>4</v>
      </c>
      <c r="B198" s="1">
        <v>1</v>
      </c>
      <c r="C198" s="1">
        <v>4</v>
      </c>
      <c r="D198" t="s">
        <v>301</v>
      </c>
      <c r="E198" s="1">
        <f>IF(D198="Kampara",-400,400)</f>
        <v>400</v>
      </c>
      <c r="F198" s="1">
        <f t="shared" si="20"/>
        <v>2</v>
      </c>
      <c r="G198" s="1" t="s">
        <v>175</v>
      </c>
      <c r="H198" s="1" t="s">
        <v>456</v>
      </c>
      <c r="I198" s="1">
        <v>1</v>
      </c>
      <c r="J198" s="1" t="s">
        <v>354</v>
      </c>
      <c r="K198" s="1" t="s">
        <v>552</v>
      </c>
      <c r="L198" s="7" t="s">
        <v>251</v>
      </c>
      <c r="M198" t="s">
        <v>90</v>
      </c>
    </row>
    <row r="199" spans="1:13">
      <c r="A199" s="1">
        <v>4</v>
      </c>
      <c r="B199" s="1">
        <v>1</v>
      </c>
      <c r="C199" s="1">
        <v>5</v>
      </c>
      <c r="D199" s="1" t="s">
        <v>90</v>
      </c>
      <c r="E199" s="1" t="s">
        <v>90</v>
      </c>
      <c r="F199" s="1" t="s">
        <v>90</v>
      </c>
      <c r="G199" s="1" t="s">
        <v>90</v>
      </c>
      <c r="H199" s="1" t="s">
        <v>90</v>
      </c>
      <c r="I199" s="1">
        <v>1</v>
      </c>
      <c r="J199" s="1" t="s">
        <v>352</v>
      </c>
      <c r="K199" s="1" t="s">
        <v>352</v>
      </c>
      <c r="L199" s="7" t="s">
        <v>252</v>
      </c>
      <c r="M199" t="s">
        <v>90</v>
      </c>
    </row>
    <row r="200" spans="1:13">
      <c r="A200" s="1">
        <v>4</v>
      </c>
      <c r="B200" s="1">
        <v>1</v>
      </c>
      <c r="C200" s="1">
        <v>6</v>
      </c>
      <c r="D200" s="1" t="s">
        <v>90</v>
      </c>
      <c r="E200" s="1" t="s">
        <v>90</v>
      </c>
      <c r="F200" s="1" t="s">
        <v>90</v>
      </c>
      <c r="G200" s="1" t="s">
        <v>90</v>
      </c>
      <c r="H200" s="1" t="s">
        <v>90</v>
      </c>
      <c r="I200" s="1">
        <v>1</v>
      </c>
      <c r="J200" s="1" t="s">
        <v>352</v>
      </c>
      <c r="K200" s="1" t="s">
        <v>555</v>
      </c>
      <c r="L200" s="7" t="s">
        <v>427</v>
      </c>
      <c r="M200" t="s">
        <v>90</v>
      </c>
    </row>
    <row r="201" spans="1:13">
      <c r="A201" s="1">
        <v>4</v>
      </c>
      <c r="B201" s="1">
        <v>1</v>
      </c>
      <c r="C201" s="1">
        <v>7</v>
      </c>
      <c r="D201" t="s">
        <v>242</v>
      </c>
      <c r="E201" s="1">
        <f>IF(D201="Kampara",-400,400)</f>
        <v>400</v>
      </c>
      <c r="F201" s="1">
        <f t="shared" si="20"/>
        <v>2</v>
      </c>
      <c r="G201" s="1" t="s">
        <v>529</v>
      </c>
      <c r="H201" s="1" t="s">
        <v>479</v>
      </c>
      <c r="I201" s="1">
        <v>1</v>
      </c>
      <c r="J201" s="1" t="s">
        <v>352</v>
      </c>
      <c r="K201" s="1" t="s">
        <v>352</v>
      </c>
      <c r="L201" s="7" t="s">
        <v>373</v>
      </c>
      <c r="M201" t="s">
        <v>90</v>
      </c>
    </row>
    <row r="202" spans="1:13">
      <c r="A202" s="1">
        <v>4</v>
      </c>
      <c r="B202" s="1">
        <v>1</v>
      </c>
      <c r="C202" s="1">
        <v>8</v>
      </c>
      <c r="D202" s="1" t="s">
        <v>90</v>
      </c>
      <c r="E202" s="1" t="s">
        <v>90</v>
      </c>
      <c r="F202" s="1" t="s">
        <v>90</v>
      </c>
      <c r="G202" s="1" t="s">
        <v>90</v>
      </c>
      <c r="H202" s="1" t="s">
        <v>90</v>
      </c>
      <c r="I202" s="1">
        <v>1</v>
      </c>
      <c r="J202" s="1" t="s">
        <v>352</v>
      </c>
      <c r="K202" s="1" t="s">
        <v>557</v>
      </c>
      <c r="L202" s="7" t="s">
        <v>255</v>
      </c>
      <c r="M202" t="s">
        <v>90</v>
      </c>
    </row>
    <row r="203" spans="1:13">
      <c r="A203" s="1">
        <v>4</v>
      </c>
      <c r="B203" s="1">
        <v>1</v>
      </c>
      <c r="C203" s="1">
        <v>9</v>
      </c>
      <c r="D203" s="1" t="s">
        <v>90</v>
      </c>
      <c r="E203" s="1" t="s">
        <v>90</v>
      </c>
      <c r="F203" s="1" t="s">
        <v>90</v>
      </c>
      <c r="G203" s="1" t="s">
        <v>90</v>
      </c>
      <c r="H203" s="1" t="s">
        <v>90</v>
      </c>
      <c r="I203" s="1">
        <v>1</v>
      </c>
      <c r="J203" s="1" t="s">
        <v>352</v>
      </c>
      <c r="K203" s="1" t="s">
        <v>558</v>
      </c>
      <c r="L203" s="7" t="s">
        <v>256</v>
      </c>
      <c r="M203" t="s">
        <v>90</v>
      </c>
    </row>
    <row r="204" spans="1:13">
      <c r="A204" s="1">
        <v>4</v>
      </c>
      <c r="B204" s="1">
        <v>1</v>
      </c>
      <c r="C204" s="1">
        <v>10</v>
      </c>
      <c r="D204" t="s">
        <v>301</v>
      </c>
      <c r="E204" s="1">
        <f t="shared" ref="E204:E205" si="27">IF(D204="Kampara",-400,400)</f>
        <v>400</v>
      </c>
      <c r="F204" s="1">
        <f t="shared" ref="F204:F258" si="28">IF(E204=400,2,1)</f>
        <v>2</v>
      </c>
      <c r="G204" s="1" t="s">
        <v>175</v>
      </c>
      <c r="H204" s="1" t="s">
        <v>483</v>
      </c>
      <c r="I204" s="1">
        <v>1</v>
      </c>
      <c r="J204" s="1" t="s">
        <v>352</v>
      </c>
      <c r="K204" s="1" t="s">
        <v>352</v>
      </c>
      <c r="L204" s="7" t="s">
        <v>257</v>
      </c>
      <c r="M204" t="s">
        <v>90</v>
      </c>
    </row>
    <row r="205" spans="1:13">
      <c r="A205" s="1">
        <v>4</v>
      </c>
      <c r="B205" s="1">
        <v>1</v>
      </c>
      <c r="C205" s="1">
        <v>11</v>
      </c>
      <c r="D205" t="s">
        <v>212</v>
      </c>
      <c r="E205" s="1">
        <f t="shared" si="27"/>
        <v>-400</v>
      </c>
      <c r="F205" s="1">
        <f t="shared" si="28"/>
        <v>1</v>
      </c>
      <c r="G205" s="1" t="s">
        <v>175</v>
      </c>
      <c r="H205" s="1" t="s">
        <v>482</v>
      </c>
      <c r="I205" s="1">
        <v>1</v>
      </c>
      <c r="J205" s="1" t="s">
        <v>352</v>
      </c>
      <c r="K205" s="1" t="s">
        <v>352</v>
      </c>
      <c r="L205" s="7" t="s">
        <v>258</v>
      </c>
      <c r="M205" t="s">
        <v>90</v>
      </c>
    </row>
    <row r="206" spans="1:13">
      <c r="A206" s="1">
        <v>4</v>
      </c>
      <c r="B206" s="1">
        <v>1</v>
      </c>
      <c r="C206" s="1">
        <v>12</v>
      </c>
      <c r="D206" s="1" t="s">
        <v>90</v>
      </c>
      <c r="E206" s="1" t="s">
        <v>90</v>
      </c>
      <c r="F206" s="1" t="s">
        <v>90</v>
      </c>
      <c r="G206" s="1" t="s">
        <v>90</v>
      </c>
      <c r="H206" s="1" t="s">
        <v>90</v>
      </c>
      <c r="I206" s="1">
        <v>1</v>
      </c>
      <c r="J206" s="1" t="s">
        <v>90</v>
      </c>
      <c r="K206" s="1" t="s">
        <v>90</v>
      </c>
      <c r="L206" s="7" t="s">
        <v>428</v>
      </c>
      <c r="M206" t="s">
        <v>90</v>
      </c>
    </row>
    <row r="207" spans="1:13">
      <c r="A207" s="1">
        <v>4</v>
      </c>
      <c r="B207" s="1">
        <v>1</v>
      </c>
      <c r="C207" s="1">
        <v>13</v>
      </c>
      <c r="D207" s="1" t="s">
        <v>90</v>
      </c>
      <c r="E207" s="1" t="s">
        <v>90</v>
      </c>
      <c r="F207" s="1" t="s">
        <v>90</v>
      </c>
      <c r="G207" s="1" t="s">
        <v>90</v>
      </c>
      <c r="H207" s="1" t="s">
        <v>90</v>
      </c>
      <c r="I207" s="1">
        <v>1</v>
      </c>
      <c r="J207" s="1" t="s">
        <v>352</v>
      </c>
      <c r="K207" s="1" t="s">
        <v>352</v>
      </c>
      <c r="L207" s="7" t="s">
        <v>429</v>
      </c>
      <c r="M207" t="s">
        <v>90</v>
      </c>
    </row>
    <row r="208" spans="1:13">
      <c r="A208" s="1">
        <v>4</v>
      </c>
      <c r="B208" s="1">
        <v>1</v>
      </c>
      <c r="C208" s="1">
        <v>14</v>
      </c>
      <c r="D208" s="1" t="s">
        <v>90</v>
      </c>
      <c r="E208" s="1" t="s">
        <v>90</v>
      </c>
      <c r="F208" s="1" t="s">
        <v>90</v>
      </c>
      <c r="G208" s="1" t="s">
        <v>90</v>
      </c>
      <c r="H208" s="1" t="s">
        <v>90</v>
      </c>
      <c r="I208" s="1">
        <v>1</v>
      </c>
      <c r="J208" s="1" t="s">
        <v>352</v>
      </c>
      <c r="K208" s="1" t="s">
        <v>557</v>
      </c>
      <c r="L208" s="7" t="s">
        <v>260</v>
      </c>
      <c r="M208" t="s">
        <v>90</v>
      </c>
    </row>
    <row r="209" spans="1:13">
      <c r="A209" s="1">
        <v>4</v>
      </c>
      <c r="B209" s="1">
        <v>1</v>
      </c>
      <c r="C209" s="1">
        <v>15</v>
      </c>
      <c r="D209" s="1" t="s">
        <v>90</v>
      </c>
      <c r="E209" s="1" t="s">
        <v>90</v>
      </c>
      <c r="F209" s="1" t="s">
        <v>90</v>
      </c>
      <c r="G209" s="1" t="s">
        <v>90</v>
      </c>
      <c r="H209" s="1" t="s">
        <v>90</v>
      </c>
      <c r="I209" s="1">
        <v>1</v>
      </c>
      <c r="J209" s="1" t="s">
        <v>352</v>
      </c>
      <c r="K209" s="1" t="s">
        <v>556</v>
      </c>
      <c r="L209" s="7" t="s">
        <v>261</v>
      </c>
      <c r="M209" t="s">
        <v>90</v>
      </c>
    </row>
    <row r="210" spans="1:13">
      <c r="A210" s="1">
        <v>4</v>
      </c>
      <c r="B210" s="1">
        <v>1</v>
      </c>
      <c r="C210" s="1">
        <v>16</v>
      </c>
      <c r="D210" t="s">
        <v>301</v>
      </c>
      <c r="E210" s="1">
        <f t="shared" ref="E210:E216" si="29">IF(D210="Kampara",-400,400)</f>
        <v>400</v>
      </c>
      <c r="F210" s="1">
        <f t="shared" si="28"/>
        <v>2</v>
      </c>
      <c r="G210" s="1" t="s">
        <v>9</v>
      </c>
      <c r="H210" s="1" t="s">
        <v>484</v>
      </c>
      <c r="I210" s="1">
        <v>1</v>
      </c>
      <c r="J210" s="1" t="s">
        <v>550</v>
      </c>
      <c r="K210" s="1" t="s">
        <v>552</v>
      </c>
      <c r="L210" s="7" t="s">
        <v>262</v>
      </c>
      <c r="M210" t="s">
        <v>90</v>
      </c>
    </row>
    <row r="211" spans="1:13">
      <c r="A211" s="1">
        <v>4</v>
      </c>
      <c r="B211" s="1">
        <v>1</v>
      </c>
      <c r="C211" s="1">
        <v>17</v>
      </c>
      <c r="D211" t="s">
        <v>212</v>
      </c>
      <c r="E211" s="1">
        <f t="shared" si="29"/>
        <v>-400</v>
      </c>
      <c r="F211" s="1">
        <f t="shared" si="28"/>
        <v>1</v>
      </c>
      <c r="G211" s="1" t="s">
        <v>9</v>
      </c>
      <c r="H211" s="1" t="s">
        <v>485</v>
      </c>
      <c r="I211" s="1">
        <v>1</v>
      </c>
      <c r="J211" s="1" t="s">
        <v>354</v>
      </c>
      <c r="K211" s="1" t="s">
        <v>553</v>
      </c>
      <c r="L211" s="7" t="s">
        <v>374</v>
      </c>
      <c r="M211" t="s">
        <v>90</v>
      </c>
    </row>
    <row r="212" spans="1:13">
      <c r="A212" s="1">
        <v>4</v>
      </c>
      <c r="B212" s="1">
        <v>1</v>
      </c>
      <c r="C212" s="1">
        <v>18</v>
      </c>
      <c r="D212" t="s">
        <v>212</v>
      </c>
      <c r="E212" s="1">
        <f t="shared" si="29"/>
        <v>-400</v>
      </c>
      <c r="F212" s="1">
        <f t="shared" si="28"/>
        <v>1</v>
      </c>
      <c r="G212" s="1" t="s">
        <v>9</v>
      </c>
      <c r="H212" s="1" t="s">
        <v>480</v>
      </c>
      <c r="I212" s="1">
        <v>1</v>
      </c>
      <c r="J212" s="1" t="s">
        <v>352</v>
      </c>
      <c r="K212" s="1" t="s">
        <v>352</v>
      </c>
      <c r="L212" s="5" t="s">
        <v>430</v>
      </c>
      <c r="M212" t="s">
        <v>90</v>
      </c>
    </row>
    <row r="213" spans="1:13">
      <c r="A213" s="1">
        <v>4</v>
      </c>
      <c r="B213" s="1">
        <v>1</v>
      </c>
      <c r="C213" s="1">
        <v>19</v>
      </c>
      <c r="D213" t="s">
        <v>531</v>
      </c>
      <c r="E213" s="1">
        <f t="shared" si="29"/>
        <v>400</v>
      </c>
      <c r="F213" s="1">
        <f t="shared" si="28"/>
        <v>2</v>
      </c>
      <c r="G213" s="1" t="s">
        <v>9</v>
      </c>
      <c r="H213" s="1" t="s">
        <v>486</v>
      </c>
      <c r="I213" s="1">
        <v>1</v>
      </c>
      <c r="J213" s="1" t="s">
        <v>352</v>
      </c>
      <c r="K213" s="1" t="s">
        <v>352</v>
      </c>
      <c r="L213" s="5" t="s">
        <v>233</v>
      </c>
      <c r="M213" t="s">
        <v>90</v>
      </c>
    </row>
    <row r="214" spans="1:13">
      <c r="A214" s="1">
        <v>4</v>
      </c>
      <c r="B214" s="1">
        <v>1</v>
      </c>
      <c r="C214" s="1">
        <v>20</v>
      </c>
      <c r="D214" t="s">
        <v>301</v>
      </c>
      <c r="E214" s="1">
        <f t="shared" si="29"/>
        <v>400</v>
      </c>
      <c r="F214" s="1">
        <f t="shared" si="28"/>
        <v>2</v>
      </c>
      <c r="G214" s="1" t="s">
        <v>9</v>
      </c>
      <c r="H214" s="1" t="s">
        <v>456</v>
      </c>
      <c r="I214" s="1">
        <v>1</v>
      </c>
      <c r="J214" s="1" t="s">
        <v>352</v>
      </c>
      <c r="K214" s="1" t="s">
        <v>352</v>
      </c>
      <c r="L214" s="5" t="s">
        <v>268</v>
      </c>
      <c r="M214" t="s">
        <v>90</v>
      </c>
    </row>
    <row r="215" spans="1:13">
      <c r="A215" s="1">
        <v>4</v>
      </c>
      <c r="B215" s="1">
        <v>1</v>
      </c>
      <c r="C215" s="1">
        <v>21</v>
      </c>
      <c r="D215" t="s">
        <v>301</v>
      </c>
      <c r="E215" s="1">
        <f t="shared" si="29"/>
        <v>400</v>
      </c>
      <c r="F215" s="1">
        <f t="shared" si="28"/>
        <v>2</v>
      </c>
      <c r="G215" s="1" t="s">
        <v>9</v>
      </c>
      <c r="H215" s="1" t="s">
        <v>456</v>
      </c>
      <c r="I215" s="1">
        <v>1</v>
      </c>
      <c r="J215" s="1" t="s">
        <v>352</v>
      </c>
      <c r="K215" s="1" t="s">
        <v>352</v>
      </c>
      <c r="L215" s="5" t="s">
        <v>269</v>
      </c>
      <c r="M215" t="s">
        <v>90</v>
      </c>
    </row>
    <row r="216" spans="1:13">
      <c r="A216" s="1">
        <v>4</v>
      </c>
      <c r="B216" s="1">
        <v>1</v>
      </c>
      <c r="C216" s="1">
        <v>22</v>
      </c>
      <c r="D216" t="s">
        <v>532</v>
      </c>
      <c r="E216" s="1">
        <f t="shared" si="29"/>
        <v>400</v>
      </c>
      <c r="F216" s="1">
        <f t="shared" si="28"/>
        <v>2</v>
      </c>
      <c r="G216" s="1" t="s">
        <v>9</v>
      </c>
      <c r="H216" s="1" t="s">
        <v>487</v>
      </c>
      <c r="I216" s="1">
        <v>1</v>
      </c>
      <c r="J216" s="1" t="s">
        <v>352</v>
      </c>
      <c r="K216" s="1" t="s">
        <v>352</v>
      </c>
      <c r="L216" s="5" t="s">
        <v>431</v>
      </c>
      <c r="M216" t="s">
        <v>90</v>
      </c>
    </row>
    <row r="217" spans="1:13">
      <c r="A217" s="1">
        <v>4</v>
      </c>
      <c r="B217" s="1">
        <v>1</v>
      </c>
      <c r="C217" s="1">
        <v>22</v>
      </c>
      <c r="D217" s="1" t="s">
        <v>90</v>
      </c>
      <c r="E217" s="1" t="s">
        <v>90</v>
      </c>
      <c r="F217" s="1" t="s">
        <v>90</v>
      </c>
      <c r="G217" s="1" t="s">
        <v>90</v>
      </c>
      <c r="H217" s="1" t="s">
        <v>90</v>
      </c>
      <c r="I217" s="1">
        <v>1</v>
      </c>
      <c r="J217" s="1" t="s">
        <v>90</v>
      </c>
      <c r="K217" s="1" t="s">
        <v>90</v>
      </c>
      <c r="L217" s="8" t="s">
        <v>488</v>
      </c>
      <c r="M217" t="s">
        <v>90</v>
      </c>
    </row>
    <row r="218" spans="1:13">
      <c r="A218" s="1">
        <v>4</v>
      </c>
      <c r="B218" s="1">
        <v>1</v>
      </c>
      <c r="C218" s="1">
        <v>23</v>
      </c>
      <c r="D218" t="s">
        <v>533</v>
      </c>
      <c r="E218" s="1">
        <f t="shared" ref="E218:E258" si="30">IF(D218="Kampara",-400,400)</f>
        <v>-400</v>
      </c>
      <c r="F218" s="1">
        <f t="shared" si="28"/>
        <v>1</v>
      </c>
      <c r="G218" s="1" t="s">
        <v>81</v>
      </c>
      <c r="H218" s="1" t="s">
        <v>482</v>
      </c>
      <c r="I218" s="1">
        <v>1</v>
      </c>
      <c r="J218" s="1" t="s">
        <v>352</v>
      </c>
      <c r="K218" s="1" t="s">
        <v>352</v>
      </c>
      <c r="L218" s="5" t="s">
        <v>432</v>
      </c>
      <c r="M218" t="s">
        <v>90</v>
      </c>
    </row>
    <row r="219" spans="1:13">
      <c r="A219" s="1">
        <v>4</v>
      </c>
      <c r="B219" s="1">
        <v>1</v>
      </c>
      <c r="C219" s="1">
        <v>24</v>
      </c>
      <c r="D219" t="s">
        <v>212</v>
      </c>
      <c r="E219" s="1">
        <f t="shared" si="30"/>
        <v>-400</v>
      </c>
      <c r="F219" s="1">
        <f t="shared" si="28"/>
        <v>1</v>
      </c>
      <c r="G219" s="1" t="s">
        <v>81</v>
      </c>
      <c r="H219" s="1" t="s">
        <v>482</v>
      </c>
      <c r="I219" s="1">
        <v>1</v>
      </c>
      <c r="J219" s="1" t="s">
        <v>352</v>
      </c>
      <c r="K219" s="1" t="s">
        <v>352</v>
      </c>
      <c r="L219" s="5" t="s">
        <v>433</v>
      </c>
      <c r="M219" t="s">
        <v>90</v>
      </c>
    </row>
    <row r="220" spans="1:13">
      <c r="A220" s="1">
        <v>4</v>
      </c>
      <c r="B220" s="1">
        <v>1</v>
      </c>
      <c r="C220" s="1">
        <v>25</v>
      </c>
      <c r="D220" t="s">
        <v>301</v>
      </c>
      <c r="E220" s="1">
        <f t="shared" si="30"/>
        <v>400</v>
      </c>
      <c r="F220" s="1">
        <f t="shared" si="28"/>
        <v>2</v>
      </c>
      <c r="G220" s="1" t="s">
        <v>9</v>
      </c>
      <c r="H220" s="1" t="s">
        <v>489</v>
      </c>
      <c r="I220" s="1">
        <v>1</v>
      </c>
      <c r="J220" s="1" t="s">
        <v>352</v>
      </c>
      <c r="K220" s="1" t="s">
        <v>352</v>
      </c>
      <c r="L220" s="5" t="s">
        <v>434</v>
      </c>
      <c r="M220" t="s">
        <v>90</v>
      </c>
    </row>
    <row r="221" spans="1:13">
      <c r="A221" s="1">
        <v>4</v>
      </c>
      <c r="B221" s="1">
        <v>1</v>
      </c>
      <c r="C221" s="1">
        <v>26</v>
      </c>
      <c r="D221" t="s">
        <v>212</v>
      </c>
      <c r="E221" s="1">
        <f t="shared" si="30"/>
        <v>-400</v>
      </c>
      <c r="F221" s="1">
        <f t="shared" si="28"/>
        <v>1</v>
      </c>
      <c r="G221" s="1" t="s">
        <v>175</v>
      </c>
      <c r="H221" s="1" t="s">
        <v>490</v>
      </c>
      <c r="I221" s="1">
        <v>1</v>
      </c>
      <c r="J221" s="1" t="s">
        <v>352</v>
      </c>
      <c r="K221" s="1" t="s">
        <v>352</v>
      </c>
      <c r="L221" s="5" t="s">
        <v>435</v>
      </c>
      <c r="M221" t="s">
        <v>90</v>
      </c>
    </row>
    <row r="222" spans="1:13">
      <c r="A222" s="1">
        <v>4</v>
      </c>
      <c r="B222" s="1">
        <v>1</v>
      </c>
      <c r="C222" s="1">
        <v>27</v>
      </c>
      <c r="D222" t="s">
        <v>534</v>
      </c>
      <c r="E222" s="1">
        <f t="shared" si="30"/>
        <v>400</v>
      </c>
      <c r="F222" s="1">
        <f t="shared" si="28"/>
        <v>2</v>
      </c>
      <c r="G222" s="1" t="s">
        <v>9</v>
      </c>
      <c r="H222" s="1" t="s">
        <v>465</v>
      </c>
      <c r="I222" s="1">
        <v>1</v>
      </c>
      <c r="J222" s="1" t="s">
        <v>352</v>
      </c>
      <c r="K222" s="1" t="s">
        <v>352</v>
      </c>
      <c r="L222" s="5" t="s">
        <v>436</v>
      </c>
      <c r="M222" t="s">
        <v>90</v>
      </c>
    </row>
    <row r="223" spans="1:13">
      <c r="A223" s="1">
        <v>4</v>
      </c>
      <c r="B223" s="1">
        <v>1</v>
      </c>
      <c r="C223" s="1">
        <v>28</v>
      </c>
      <c r="D223" t="s">
        <v>301</v>
      </c>
      <c r="E223" s="1">
        <f t="shared" si="30"/>
        <v>400</v>
      </c>
      <c r="F223" s="1">
        <f t="shared" si="28"/>
        <v>2</v>
      </c>
      <c r="G223" s="1" t="s">
        <v>9</v>
      </c>
      <c r="H223" s="1" t="s">
        <v>465</v>
      </c>
      <c r="I223" s="1">
        <v>1</v>
      </c>
      <c r="J223" s="1" t="s">
        <v>352</v>
      </c>
      <c r="K223" s="1" t="s">
        <v>352</v>
      </c>
      <c r="L223" s="5" t="s">
        <v>437</v>
      </c>
      <c r="M223" t="s">
        <v>90</v>
      </c>
    </row>
    <row r="224" spans="1:13">
      <c r="A224" s="1">
        <v>4</v>
      </c>
      <c r="B224" s="1">
        <v>1</v>
      </c>
      <c r="C224" s="1">
        <v>29</v>
      </c>
      <c r="D224" t="s">
        <v>527</v>
      </c>
      <c r="E224" s="1">
        <f t="shared" si="30"/>
        <v>-400</v>
      </c>
      <c r="F224" s="1">
        <f t="shared" si="28"/>
        <v>1</v>
      </c>
      <c r="G224" s="1" t="s">
        <v>517</v>
      </c>
      <c r="H224" s="1" t="s">
        <v>491</v>
      </c>
      <c r="I224" s="1">
        <v>1</v>
      </c>
      <c r="J224" s="1" t="s">
        <v>90</v>
      </c>
      <c r="K224" s="1" t="s">
        <v>90</v>
      </c>
      <c r="L224" s="5" t="s">
        <v>438</v>
      </c>
      <c r="M224" t="s">
        <v>90</v>
      </c>
    </row>
    <row r="225" spans="1:13">
      <c r="A225" s="1">
        <v>4</v>
      </c>
      <c r="B225" s="1">
        <v>1</v>
      </c>
      <c r="C225" s="1">
        <v>30</v>
      </c>
      <c r="D225" t="s">
        <v>527</v>
      </c>
      <c r="E225" s="1">
        <f t="shared" si="30"/>
        <v>-400</v>
      </c>
      <c r="F225" s="1">
        <f t="shared" si="28"/>
        <v>1</v>
      </c>
      <c r="G225" s="1" t="s">
        <v>520</v>
      </c>
      <c r="H225" s="1" t="s">
        <v>492</v>
      </c>
      <c r="I225" s="1">
        <v>1</v>
      </c>
      <c r="J225" s="1" t="s">
        <v>90</v>
      </c>
      <c r="K225" s="1" t="s">
        <v>90</v>
      </c>
      <c r="L225" s="5" t="s">
        <v>439</v>
      </c>
      <c r="M225" t="s">
        <v>90</v>
      </c>
    </row>
    <row r="226" spans="1:13">
      <c r="A226" s="1">
        <v>4</v>
      </c>
      <c r="B226" s="1">
        <v>1</v>
      </c>
      <c r="C226" s="1">
        <v>31</v>
      </c>
      <c r="D226" s="1" t="s">
        <v>90</v>
      </c>
      <c r="E226" s="1" t="s">
        <v>90</v>
      </c>
      <c r="F226" s="1" t="s">
        <v>90</v>
      </c>
      <c r="G226" s="1" t="s">
        <v>90</v>
      </c>
      <c r="H226" s="1" t="s">
        <v>90</v>
      </c>
      <c r="I226" s="1">
        <v>1</v>
      </c>
      <c r="J226" s="1" t="s">
        <v>554</v>
      </c>
      <c r="K226" s="1" t="s">
        <v>553</v>
      </c>
      <c r="L226" s="5" t="s">
        <v>440</v>
      </c>
      <c r="M226" t="s">
        <v>90</v>
      </c>
    </row>
    <row r="227" spans="1:13">
      <c r="A227" s="1">
        <v>5</v>
      </c>
      <c r="B227" s="1">
        <v>0</v>
      </c>
      <c r="C227" s="1">
        <v>1</v>
      </c>
      <c r="D227" t="s">
        <v>242</v>
      </c>
      <c r="E227" s="1">
        <f t="shared" si="30"/>
        <v>400</v>
      </c>
      <c r="F227" s="1">
        <f t="shared" si="28"/>
        <v>2</v>
      </c>
      <c r="G227" s="1" t="s">
        <v>9</v>
      </c>
      <c r="H227" s="1" t="s">
        <v>493</v>
      </c>
      <c r="I227" s="1">
        <v>1</v>
      </c>
      <c r="J227" s="1" t="s">
        <v>559</v>
      </c>
      <c r="K227" s="1" t="s">
        <v>560</v>
      </c>
      <c r="L227" s="7" t="s">
        <v>273</v>
      </c>
      <c r="M227" t="s">
        <v>90</v>
      </c>
    </row>
    <row r="228" spans="1:13">
      <c r="A228" s="1">
        <v>5</v>
      </c>
      <c r="B228" s="1">
        <v>0</v>
      </c>
      <c r="C228" s="1">
        <v>2</v>
      </c>
      <c r="D228" s="1" t="s">
        <v>90</v>
      </c>
      <c r="E228" s="1" t="s">
        <v>90</v>
      </c>
      <c r="F228" s="1" t="s">
        <v>90</v>
      </c>
      <c r="G228" s="1" t="s">
        <v>90</v>
      </c>
      <c r="H228" s="1" t="s">
        <v>90</v>
      </c>
      <c r="I228" s="1">
        <v>1</v>
      </c>
      <c r="J228" s="1" t="s">
        <v>352</v>
      </c>
      <c r="K228" s="1" t="s">
        <v>352</v>
      </c>
      <c r="L228" s="7" t="s">
        <v>442</v>
      </c>
      <c r="M228" t="s">
        <v>90</v>
      </c>
    </row>
    <row r="229" spans="1:13">
      <c r="A229" s="1">
        <v>5</v>
      </c>
      <c r="B229" s="1">
        <v>0</v>
      </c>
      <c r="C229" s="1">
        <v>3</v>
      </c>
      <c r="D229" t="s">
        <v>213</v>
      </c>
      <c r="E229" s="1">
        <f t="shared" si="30"/>
        <v>400</v>
      </c>
      <c r="F229" s="1">
        <f t="shared" si="28"/>
        <v>2</v>
      </c>
      <c r="G229" s="1" t="s">
        <v>9</v>
      </c>
      <c r="H229" s="1" t="s">
        <v>494</v>
      </c>
      <c r="I229" s="1">
        <v>1</v>
      </c>
      <c r="J229" s="1" t="s">
        <v>352</v>
      </c>
      <c r="K229" s="1" t="s">
        <v>352</v>
      </c>
      <c r="L229" s="7" t="s">
        <v>441</v>
      </c>
      <c r="M229" t="s">
        <v>90</v>
      </c>
    </row>
    <row r="230" spans="1:13">
      <c r="A230" s="1">
        <v>5</v>
      </c>
      <c r="B230" s="1">
        <v>0</v>
      </c>
      <c r="C230" s="1">
        <v>4</v>
      </c>
      <c r="D230" t="s">
        <v>242</v>
      </c>
      <c r="E230" s="1">
        <f t="shared" si="30"/>
        <v>400</v>
      </c>
      <c r="F230" s="1">
        <f t="shared" si="28"/>
        <v>2</v>
      </c>
      <c r="G230" s="1" t="s">
        <v>334</v>
      </c>
      <c r="H230" s="1" t="s">
        <v>479</v>
      </c>
      <c r="I230" s="1">
        <v>1</v>
      </c>
      <c r="J230" s="1" t="s">
        <v>352</v>
      </c>
      <c r="K230" s="1" t="s">
        <v>352</v>
      </c>
      <c r="L230" s="7" t="s">
        <v>401</v>
      </c>
      <c r="M230" t="s">
        <v>90</v>
      </c>
    </row>
    <row r="231" spans="1:13">
      <c r="A231" s="1">
        <v>5</v>
      </c>
      <c r="B231" s="1">
        <v>0</v>
      </c>
      <c r="C231" s="1">
        <v>5</v>
      </c>
      <c r="D231" s="1" t="s">
        <v>90</v>
      </c>
      <c r="E231" s="1" t="s">
        <v>90</v>
      </c>
      <c r="F231" s="1" t="s">
        <v>90</v>
      </c>
      <c r="G231" s="1" t="s">
        <v>90</v>
      </c>
      <c r="H231" s="1" t="s">
        <v>90</v>
      </c>
      <c r="I231" s="1">
        <v>1</v>
      </c>
      <c r="J231" s="1" t="s">
        <v>352</v>
      </c>
      <c r="K231" s="1" t="s">
        <v>352</v>
      </c>
      <c r="L231" s="7" t="s">
        <v>276</v>
      </c>
      <c r="M231" t="s">
        <v>90</v>
      </c>
    </row>
    <row r="232" spans="1:13">
      <c r="A232" s="1">
        <v>5</v>
      </c>
      <c r="B232" s="1">
        <v>0</v>
      </c>
      <c r="C232" s="1">
        <v>6</v>
      </c>
      <c r="D232" t="s">
        <v>213</v>
      </c>
      <c r="E232" s="1">
        <f t="shared" si="30"/>
        <v>400</v>
      </c>
      <c r="F232" s="1">
        <f t="shared" si="28"/>
        <v>2</v>
      </c>
      <c r="G232" s="1" t="s">
        <v>9</v>
      </c>
      <c r="H232" s="1" t="s">
        <v>495</v>
      </c>
      <c r="I232" s="1">
        <v>1</v>
      </c>
      <c r="J232" s="1" t="s">
        <v>352</v>
      </c>
      <c r="K232" s="1" t="s">
        <v>352</v>
      </c>
      <c r="L232" s="7" t="s">
        <v>278</v>
      </c>
      <c r="M232" t="s">
        <v>90</v>
      </c>
    </row>
    <row r="233" spans="1:13">
      <c r="A233" s="1">
        <v>5</v>
      </c>
      <c r="B233" s="1">
        <v>0</v>
      </c>
      <c r="C233" s="1">
        <v>7</v>
      </c>
      <c r="D233" t="s">
        <v>242</v>
      </c>
      <c r="E233" s="1">
        <f t="shared" si="30"/>
        <v>400</v>
      </c>
      <c r="F233" s="1">
        <f t="shared" si="28"/>
        <v>2</v>
      </c>
      <c r="G233" s="1" t="s">
        <v>9</v>
      </c>
      <c r="H233" s="1" t="s">
        <v>479</v>
      </c>
      <c r="I233" s="1">
        <v>1</v>
      </c>
      <c r="J233" s="1" t="s">
        <v>352</v>
      </c>
      <c r="K233" s="1" t="s">
        <v>352</v>
      </c>
      <c r="L233" s="7" t="s">
        <v>279</v>
      </c>
      <c r="M233" t="s">
        <v>90</v>
      </c>
    </row>
    <row r="234" spans="1:13">
      <c r="A234" s="1">
        <v>5</v>
      </c>
      <c r="B234" s="1">
        <v>0</v>
      </c>
      <c r="C234" s="1">
        <v>8</v>
      </c>
      <c r="D234" t="s">
        <v>213</v>
      </c>
      <c r="E234" s="1">
        <f t="shared" si="30"/>
        <v>400</v>
      </c>
      <c r="F234" s="1">
        <f t="shared" si="28"/>
        <v>2</v>
      </c>
      <c r="G234" s="1" t="s">
        <v>9</v>
      </c>
      <c r="H234" s="1" t="s">
        <v>465</v>
      </c>
      <c r="I234" s="1">
        <v>1</v>
      </c>
      <c r="J234" s="1" t="s">
        <v>352</v>
      </c>
      <c r="K234" s="1" t="s">
        <v>352</v>
      </c>
      <c r="L234" s="7" t="s">
        <v>375</v>
      </c>
      <c r="M234" t="s">
        <v>90</v>
      </c>
    </row>
    <row r="235" spans="1:13">
      <c r="A235" s="1">
        <v>5</v>
      </c>
      <c r="B235" s="1">
        <v>0</v>
      </c>
      <c r="C235" s="1">
        <v>9</v>
      </c>
      <c r="D235" t="s">
        <v>242</v>
      </c>
      <c r="E235" s="1">
        <f t="shared" si="30"/>
        <v>400</v>
      </c>
      <c r="F235" s="1">
        <f t="shared" si="28"/>
        <v>2</v>
      </c>
      <c r="G235" s="1" t="s">
        <v>175</v>
      </c>
      <c r="H235" s="1" t="s">
        <v>476</v>
      </c>
      <c r="I235" s="1">
        <v>1</v>
      </c>
      <c r="J235" s="1" t="s">
        <v>90</v>
      </c>
      <c r="K235" s="1" t="s">
        <v>90</v>
      </c>
      <c r="L235" s="7" t="s">
        <v>443</v>
      </c>
      <c r="M235" t="s">
        <v>90</v>
      </c>
    </row>
    <row r="236" spans="1:13">
      <c r="A236" s="1">
        <v>5</v>
      </c>
      <c r="B236" s="1">
        <v>0</v>
      </c>
      <c r="C236" s="1">
        <v>10</v>
      </c>
      <c r="D236" t="s">
        <v>242</v>
      </c>
      <c r="E236" s="1">
        <f t="shared" si="30"/>
        <v>400</v>
      </c>
      <c r="F236" s="1">
        <f t="shared" si="28"/>
        <v>2</v>
      </c>
      <c r="G236" s="1" t="s">
        <v>335</v>
      </c>
      <c r="H236" s="1" t="s">
        <v>496</v>
      </c>
      <c r="I236" s="1">
        <v>1</v>
      </c>
      <c r="J236" s="1" t="s">
        <v>352</v>
      </c>
      <c r="K236" s="1" t="s">
        <v>352</v>
      </c>
      <c r="L236" s="7" t="s">
        <v>444</v>
      </c>
      <c r="M236" t="s">
        <v>90</v>
      </c>
    </row>
    <row r="237" spans="1:13">
      <c r="A237" s="1">
        <v>5</v>
      </c>
      <c r="B237" s="1">
        <v>0</v>
      </c>
      <c r="C237" s="1">
        <v>11</v>
      </c>
      <c r="D237" t="s">
        <v>213</v>
      </c>
      <c r="E237" s="1">
        <f t="shared" si="30"/>
        <v>400</v>
      </c>
      <c r="F237" s="1">
        <f t="shared" si="28"/>
        <v>2</v>
      </c>
      <c r="G237" s="1" t="s">
        <v>9</v>
      </c>
      <c r="H237" s="1" t="s">
        <v>456</v>
      </c>
      <c r="I237" s="1">
        <v>1</v>
      </c>
      <c r="J237" s="1" t="s">
        <v>352</v>
      </c>
      <c r="K237" s="1" t="s">
        <v>352</v>
      </c>
      <c r="L237" s="7" t="s">
        <v>282</v>
      </c>
      <c r="M237" t="s">
        <v>90</v>
      </c>
    </row>
    <row r="238" spans="1:13">
      <c r="A238" s="1">
        <v>5</v>
      </c>
      <c r="B238" s="1">
        <v>0</v>
      </c>
      <c r="C238" s="1">
        <v>12</v>
      </c>
      <c r="D238" t="s">
        <v>242</v>
      </c>
      <c r="E238" s="1">
        <f t="shared" si="30"/>
        <v>400</v>
      </c>
      <c r="F238" s="1">
        <f t="shared" si="28"/>
        <v>2</v>
      </c>
      <c r="G238" s="1" t="s">
        <v>334</v>
      </c>
      <c r="H238" s="1" t="s">
        <v>496</v>
      </c>
      <c r="I238" s="1">
        <v>1</v>
      </c>
      <c r="J238" s="1" t="s">
        <v>352</v>
      </c>
      <c r="K238" s="1" t="s">
        <v>352</v>
      </c>
      <c r="L238" s="7" t="s">
        <v>283</v>
      </c>
      <c r="M238" t="s">
        <v>90</v>
      </c>
    </row>
    <row r="239" spans="1:13">
      <c r="A239" s="1">
        <v>5</v>
      </c>
      <c r="B239" s="1">
        <v>0</v>
      </c>
      <c r="C239" s="1">
        <v>13</v>
      </c>
      <c r="D239" t="s">
        <v>242</v>
      </c>
      <c r="E239" s="1">
        <f t="shared" si="30"/>
        <v>400</v>
      </c>
      <c r="F239" s="1">
        <f t="shared" si="28"/>
        <v>2</v>
      </c>
      <c r="G239" s="1" t="s">
        <v>334</v>
      </c>
      <c r="H239" s="1" t="s">
        <v>476</v>
      </c>
      <c r="I239" s="1">
        <v>1</v>
      </c>
      <c r="J239" s="1" t="s">
        <v>352</v>
      </c>
      <c r="K239" s="1" t="s">
        <v>352</v>
      </c>
      <c r="L239" s="7" t="s">
        <v>284</v>
      </c>
      <c r="M239" t="s">
        <v>90</v>
      </c>
    </row>
    <row r="240" spans="1:13">
      <c r="A240" s="1">
        <v>5</v>
      </c>
      <c r="B240" s="1">
        <v>0</v>
      </c>
      <c r="C240" s="1">
        <v>14</v>
      </c>
      <c r="D240" s="1" t="s">
        <v>90</v>
      </c>
      <c r="E240" s="1" t="s">
        <v>90</v>
      </c>
      <c r="F240" s="1" t="s">
        <v>90</v>
      </c>
      <c r="G240" s="1" t="s">
        <v>90</v>
      </c>
      <c r="H240" s="1" t="s">
        <v>90</v>
      </c>
      <c r="I240" s="1">
        <v>1</v>
      </c>
      <c r="J240" s="1" t="s">
        <v>352</v>
      </c>
      <c r="K240" s="1" t="s">
        <v>352</v>
      </c>
      <c r="L240" s="7" t="s">
        <v>285</v>
      </c>
      <c r="M240" t="s">
        <v>90</v>
      </c>
    </row>
    <row r="241" spans="1:13">
      <c r="A241" s="1">
        <v>5</v>
      </c>
      <c r="B241" s="1">
        <v>0</v>
      </c>
      <c r="C241" s="1">
        <v>15</v>
      </c>
      <c r="D241" t="s">
        <v>213</v>
      </c>
      <c r="E241" s="1">
        <f t="shared" si="30"/>
        <v>400</v>
      </c>
      <c r="F241" s="1">
        <f t="shared" si="28"/>
        <v>2</v>
      </c>
      <c r="G241" s="1" t="s">
        <v>9</v>
      </c>
      <c r="H241" s="1" t="s">
        <v>497</v>
      </c>
      <c r="I241" s="1">
        <v>1</v>
      </c>
      <c r="J241" s="1" t="s">
        <v>352</v>
      </c>
      <c r="K241" s="1" t="s">
        <v>352</v>
      </c>
      <c r="L241" s="7" t="s">
        <v>286</v>
      </c>
      <c r="M241" t="s">
        <v>90</v>
      </c>
    </row>
    <row r="242" spans="1:13">
      <c r="A242" s="1">
        <v>5</v>
      </c>
      <c r="B242" s="1">
        <v>0</v>
      </c>
      <c r="C242" s="1">
        <v>16</v>
      </c>
      <c r="D242" s="1" t="s">
        <v>90</v>
      </c>
      <c r="E242" s="1" t="s">
        <v>90</v>
      </c>
      <c r="F242" s="1" t="s">
        <v>90</v>
      </c>
      <c r="G242" s="1" t="s">
        <v>90</v>
      </c>
      <c r="H242" s="1" t="s">
        <v>90</v>
      </c>
      <c r="I242" s="1">
        <v>1</v>
      </c>
      <c r="J242" s="1" t="s">
        <v>352</v>
      </c>
      <c r="K242" s="1" t="s">
        <v>352</v>
      </c>
      <c r="L242" s="7" t="s">
        <v>445</v>
      </c>
      <c r="M242" t="s">
        <v>90</v>
      </c>
    </row>
    <row r="243" spans="1:13">
      <c r="A243" s="1">
        <v>5</v>
      </c>
      <c r="B243" s="1">
        <v>0</v>
      </c>
      <c r="C243" s="1">
        <v>17</v>
      </c>
      <c r="D243" t="s">
        <v>213</v>
      </c>
      <c r="E243" s="1">
        <f t="shared" si="30"/>
        <v>400</v>
      </c>
      <c r="F243" s="1">
        <f t="shared" si="28"/>
        <v>2</v>
      </c>
      <c r="G243" s="1" t="s">
        <v>175</v>
      </c>
      <c r="H243" s="1" t="s">
        <v>456</v>
      </c>
      <c r="I243" s="1">
        <v>1</v>
      </c>
      <c r="J243" s="1" t="s">
        <v>352</v>
      </c>
      <c r="K243" s="1" t="s">
        <v>352</v>
      </c>
      <c r="L243" s="7" t="s">
        <v>288</v>
      </c>
      <c r="M243" t="s">
        <v>90</v>
      </c>
    </row>
    <row r="244" spans="1:13">
      <c r="A244" s="1">
        <v>5</v>
      </c>
      <c r="B244" s="1">
        <v>0</v>
      </c>
      <c r="C244" s="1">
        <v>18</v>
      </c>
      <c r="D244" t="s">
        <v>212</v>
      </c>
      <c r="E244" s="1">
        <f t="shared" si="30"/>
        <v>-400</v>
      </c>
      <c r="F244" s="1">
        <f t="shared" si="28"/>
        <v>1</v>
      </c>
      <c r="G244" s="1" t="s">
        <v>9</v>
      </c>
      <c r="H244" s="1" t="s">
        <v>498</v>
      </c>
      <c r="I244" s="1">
        <v>1</v>
      </c>
      <c r="J244" s="1" t="s">
        <v>352</v>
      </c>
      <c r="K244" s="1" t="s">
        <v>352</v>
      </c>
      <c r="L244" s="7" t="s">
        <v>402</v>
      </c>
      <c r="M244" t="s">
        <v>90</v>
      </c>
    </row>
    <row r="245" spans="1:13">
      <c r="A245" s="1">
        <v>5</v>
      </c>
      <c r="B245" s="1">
        <v>0</v>
      </c>
      <c r="C245" s="1">
        <v>19</v>
      </c>
      <c r="D245" t="s">
        <v>213</v>
      </c>
      <c r="E245" s="1">
        <f t="shared" si="30"/>
        <v>400</v>
      </c>
      <c r="F245" s="1">
        <f t="shared" si="28"/>
        <v>2</v>
      </c>
      <c r="G245" s="1" t="s">
        <v>9</v>
      </c>
      <c r="H245" s="1" t="s">
        <v>456</v>
      </c>
      <c r="I245" s="1">
        <v>1</v>
      </c>
      <c r="J245" s="1" t="s">
        <v>352</v>
      </c>
      <c r="K245" s="1" t="s">
        <v>352</v>
      </c>
      <c r="L245" s="7" t="s">
        <v>290</v>
      </c>
      <c r="M245" t="s">
        <v>90</v>
      </c>
    </row>
    <row r="246" spans="1:13">
      <c r="A246" s="1">
        <v>5</v>
      </c>
      <c r="B246" s="1">
        <v>0</v>
      </c>
      <c r="C246" s="1">
        <v>20</v>
      </c>
      <c r="D246" t="s">
        <v>213</v>
      </c>
      <c r="E246" s="1">
        <f t="shared" si="30"/>
        <v>400</v>
      </c>
      <c r="F246" s="1">
        <f t="shared" si="28"/>
        <v>2</v>
      </c>
      <c r="G246" s="1" t="s">
        <v>9</v>
      </c>
      <c r="H246" s="1" t="s">
        <v>456</v>
      </c>
      <c r="I246" s="1">
        <v>1</v>
      </c>
      <c r="J246" s="1" t="s">
        <v>352</v>
      </c>
      <c r="K246" s="1" t="s">
        <v>352</v>
      </c>
      <c r="L246" s="7" t="s">
        <v>291</v>
      </c>
      <c r="M246" t="s">
        <v>90</v>
      </c>
    </row>
    <row r="247" spans="1:13">
      <c r="A247" s="1">
        <v>5</v>
      </c>
      <c r="B247" s="1">
        <v>0</v>
      </c>
      <c r="C247" s="1">
        <v>21</v>
      </c>
      <c r="D247" t="s">
        <v>212</v>
      </c>
      <c r="E247" s="1">
        <f t="shared" si="30"/>
        <v>-400</v>
      </c>
      <c r="F247" s="1">
        <f t="shared" si="28"/>
        <v>1</v>
      </c>
      <c r="G247" s="1" t="s">
        <v>336</v>
      </c>
      <c r="H247" s="1" t="s">
        <v>499</v>
      </c>
      <c r="I247" s="1">
        <v>1</v>
      </c>
      <c r="J247" s="1" t="s">
        <v>352</v>
      </c>
      <c r="K247" s="1" t="s">
        <v>352</v>
      </c>
      <c r="L247" s="7" t="s">
        <v>446</v>
      </c>
      <c r="M247" t="s">
        <v>90</v>
      </c>
    </row>
    <row r="248" spans="1:13">
      <c r="A248" s="1">
        <v>5</v>
      </c>
      <c r="B248" s="1">
        <v>0</v>
      </c>
      <c r="C248" s="1">
        <v>22</v>
      </c>
      <c r="D248" t="s">
        <v>213</v>
      </c>
      <c r="E248" s="1">
        <f t="shared" si="30"/>
        <v>400</v>
      </c>
      <c r="F248" s="1">
        <f t="shared" si="28"/>
        <v>2</v>
      </c>
      <c r="G248" s="1" t="s">
        <v>9</v>
      </c>
      <c r="H248" s="1" t="s">
        <v>483</v>
      </c>
      <c r="I248" s="1">
        <v>1</v>
      </c>
      <c r="J248" s="1" t="s">
        <v>352</v>
      </c>
      <c r="K248" s="1" t="s">
        <v>352</v>
      </c>
      <c r="L248" s="7" t="s">
        <v>447</v>
      </c>
      <c r="M248" t="s">
        <v>90</v>
      </c>
    </row>
    <row r="249" spans="1:13">
      <c r="A249" s="1">
        <v>5</v>
      </c>
      <c r="B249" s="1">
        <v>0</v>
      </c>
      <c r="C249" s="1">
        <v>23</v>
      </c>
      <c r="D249" t="s">
        <v>212</v>
      </c>
      <c r="E249" s="1">
        <f t="shared" si="30"/>
        <v>-400</v>
      </c>
      <c r="F249" s="1">
        <f t="shared" si="28"/>
        <v>1</v>
      </c>
      <c r="G249" s="1" t="s">
        <v>336</v>
      </c>
      <c r="H249" s="1" t="s">
        <v>498</v>
      </c>
      <c r="I249" s="1">
        <v>1</v>
      </c>
      <c r="J249" s="1" t="s">
        <v>352</v>
      </c>
      <c r="K249" s="1" t="s">
        <v>352</v>
      </c>
      <c r="L249" s="7" t="s">
        <v>296</v>
      </c>
      <c r="M249" t="s">
        <v>90</v>
      </c>
    </row>
    <row r="250" spans="1:13">
      <c r="A250" s="1">
        <v>5</v>
      </c>
      <c r="B250" s="1">
        <v>0</v>
      </c>
      <c r="C250" s="1">
        <v>24</v>
      </c>
      <c r="D250" t="s">
        <v>213</v>
      </c>
      <c r="E250" s="1">
        <f t="shared" si="30"/>
        <v>400</v>
      </c>
      <c r="F250" s="1">
        <f t="shared" si="28"/>
        <v>2</v>
      </c>
      <c r="G250" s="1" t="s">
        <v>9</v>
      </c>
      <c r="H250" s="1" t="s">
        <v>465</v>
      </c>
      <c r="I250" s="1">
        <v>1</v>
      </c>
      <c r="J250" s="1" t="s">
        <v>352</v>
      </c>
      <c r="K250" s="1" t="s">
        <v>352</v>
      </c>
      <c r="L250" s="7" t="s">
        <v>297</v>
      </c>
      <c r="M250" t="s">
        <v>90</v>
      </c>
    </row>
    <row r="251" spans="1:13">
      <c r="A251" s="1">
        <v>5</v>
      </c>
      <c r="B251" s="1">
        <v>0</v>
      </c>
      <c r="C251" s="1">
        <v>25</v>
      </c>
      <c r="D251" t="s">
        <v>212</v>
      </c>
      <c r="E251" s="1">
        <f t="shared" si="30"/>
        <v>-400</v>
      </c>
      <c r="F251" s="1">
        <f t="shared" si="28"/>
        <v>1</v>
      </c>
      <c r="G251" s="1" t="s">
        <v>336</v>
      </c>
      <c r="H251" s="1" t="s">
        <v>500</v>
      </c>
      <c r="I251" s="1">
        <v>1</v>
      </c>
      <c r="J251" s="1" t="s">
        <v>352</v>
      </c>
      <c r="K251" s="1" t="s">
        <v>352</v>
      </c>
      <c r="L251" s="7" t="s">
        <v>298</v>
      </c>
      <c r="M251" t="s">
        <v>90</v>
      </c>
    </row>
    <row r="252" spans="1:13">
      <c r="A252" s="1">
        <v>5</v>
      </c>
      <c r="B252" s="1">
        <v>0</v>
      </c>
      <c r="C252" s="1">
        <v>26</v>
      </c>
      <c r="D252" t="s">
        <v>213</v>
      </c>
      <c r="E252" s="1">
        <f t="shared" si="30"/>
        <v>400</v>
      </c>
      <c r="F252" s="1">
        <f t="shared" si="28"/>
        <v>2</v>
      </c>
      <c r="G252" s="1" t="s">
        <v>535</v>
      </c>
      <c r="H252" s="1" t="s">
        <v>497</v>
      </c>
      <c r="I252" s="1">
        <v>1</v>
      </c>
      <c r="J252" s="1" t="s">
        <v>352</v>
      </c>
      <c r="K252" s="1" t="s">
        <v>352</v>
      </c>
      <c r="L252" s="7" t="s">
        <v>299</v>
      </c>
      <c r="M252" t="s">
        <v>90</v>
      </c>
    </row>
    <row r="253" spans="1:13">
      <c r="A253" s="1">
        <v>5</v>
      </c>
      <c r="B253" s="1">
        <v>0</v>
      </c>
      <c r="C253" s="1">
        <v>27</v>
      </c>
      <c r="D253" t="s">
        <v>212</v>
      </c>
      <c r="E253" s="1">
        <f t="shared" si="30"/>
        <v>-400</v>
      </c>
      <c r="F253" s="1">
        <f t="shared" si="28"/>
        <v>1</v>
      </c>
      <c r="G253" s="1" t="s">
        <v>336</v>
      </c>
      <c r="H253" s="1" t="s">
        <v>482</v>
      </c>
      <c r="I253" s="1">
        <v>1</v>
      </c>
      <c r="J253" s="1" t="s">
        <v>352</v>
      </c>
      <c r="K253" s="1" t="s">
        <v>352</v>
      </c>
      <c r="L253" s="7" t="s">
        <v>300</v>
      </c>
      <c r="M253" t="s">
        <v>90</v>
      </c>
    </row>
    <row r="254" spans="1:13">
      <c r="A254" s="1">
        <v>5</v>
      </c>
      <c r="B254" s="1">
        <v>0</v>
      </c>
      <c r="C254" s="1">
        <v>28</v>
      </c>
      <c r="D254" t="s">
        <v>212</v>
      </c>
      <c r="E254" s="1">
        <f t="shared" si="30"/>
        <v>-400</v>
      </c>
      <c r="F254" s="1">
        <f t="shared" si="28"/>
        <v>1</v>
      </c>
      <c r="G254" s="1" t="s">
        <v>9</v>
      </c>
      <c r="H254" s="1" t="s">
        <v>501</v>
      </c>
      <c r="I254" s="1">
        <v>1</v>
      </c>
      <c r="J254" s="1" t="s">
        <v>352</v>
      </c>
      <c r="K254" s="1" t="s">
        <v>352</v>
      </c>
      <c r="L254" s="7" t="s">
        <v>298</v>
      </c>
      <c r="M254" t="s">
        <v>90</v>
      </c>
    </row>
    <row r="255" spans="1:13">
      <c r="A255" s="1">
        <v>5</v>
      </c>
      <c r="B255" s="1">
        <v>1</v>
      </c>
      <c r="C255" s="1">
        <v>1</v>
      </c>
      <c r="D255" t="s">
        <v>216</v>
      </c>
      <c r="E255" s="1">
        <f t="shared" si="30"/>
        <v>400</v>
      </c>
      <c r="F255" s="1">
        <f t="shared" si="28"/>
        <v>2</v>
      </c>
      <c r="G255" s="1" t="s">
        <v>9</v>
      </c>
      <c r="H255" s="1" t="s">
        <v>456</v>
      </c>
      <c r="I255" s="1">
        <v>1</v>
      </c>
      <c r="J255" s="1" t="s">
        <v>352</v>
      </c>
      <c r="K255" s="1" t="s">
        <v>352</v>
      </c>
      <c r="L255" s="7" t="s">
        <v>376</v>
      </c>
      <c r="M255" t="s">
        <v>90</v>
      </c>
    </row>
    <row r="256" spans="1:13">
      <c r="A256" s="1">
        <v>5</v>
      </c>
      <c r="B256" s="1">
        <v>1</v>
      </c>
      <c r="C256" s="1">
        <v>2</v>
      </c>
      <c r="D256" t="s">
        <v>212</v>
      </c>
      <c r="E256" s="1">
        <f t="shared" si="30"/>
        <v>-400</v>
      </c>
      <c r="F256" s="1">
        <f t="shared" si="28"/>
        <v>1</v>
      </c>
      <c r="G256" s="1" t="s">
        <v>337</v>
      </c>
      <c r="H256" s="1" t="s">
        <v>502</v>
      </c>
      <c r="I256" s="1">
        <v>1</v>
      </c>
      <c r="J256" s="1" t="s">
        <v>352</v>
      </c>
      <c r="K256" s="1" t="s">
        <v>352</v>
      </c>
      <c r="L256" s="7" t="s">
        <v>403</v>
      </c>
      <c r="M256" t="s">
        <v>90</v>
      </c>
    </row>
    <row r="257" spans="1:13">
      <c r="A257" s="1">
        <v>5</v>
      </c>
      <c r="B257" s="1">
        <v>1</v>
      </c>
      <c r="C257" s="1">
        <v>3</v>
      </c>
      <c r="D257" t="s">
        <v>212</v>
      </c>
      <c r="E257" s="1">
        <f t="shared" si="30"/>
        <v>-400</v>
      </c>
      <c r="F257" s="1">
        <f t="shared" si="28"/>
        <v>1</v>
      </c>
      <c r="G257" s="1" t="s">
        <v>530</v>
      </c>
      <c r="H257" s="1" t="s">
        <v>502</v>
      </c>
      <c r="I257" s="1">
        <v>1</v>
      </c>
      <c r="J257" s="1" t="s">
        <v>352</v>
      </c>
      <c r="K257" s="1" t="s">
        <v>352</v>
      </c>
      <c r="L257" s="7" t="s">
        <v>448</v>
      </c>
      <c r="M257" t="s">
        <v>90</v>
      </c>
    </row>
    <row r="258" spans="1:13">
      <c r="A258" s="1">
        <v>5</v>
      </c>
      <c r="B258" s="1">
        <v>1</v>
      </c>
      <c r="C258" s="1">
        <v>4</v>
      </c>
      <c r="D258" t="s">
        <v>213</v>
      </c>
      <c r="E258" s="1">
        <f t="shared" si="30"/>
        <v>400</v>
      </c>
      <c r="F258" s="1">
        <f t="shared" si="28"/>
        <v>2</v>
      </c>
      <c r="G258" s="1" t="s">
        <v>9</v>
      </c>
      <c r="H258" s="1" t="s">
        <v>503</v>
      </c>
      <c r="I258" s="1">
        <v>1</v>
      </c>
      <c r="J258" s="1" t="s">
        <v>352</v>
      </c>
      <c r="K258" s="1" t="s">
        <v>352</v>
      </c>
      <c r="L258" s="5" t="s">
        <v>449</v>
      </c>
      <c r="M258" t="s">
        <v>90</v>
      </c>
    </row>
    <row r="259" spans="1:13">
      <c r="A259" s="1">
        <v>5</v>
      </c>
      <c r="B259" s="1">
        <v>1</v>
      </c>
      <c r="C259" s="1">
        <v>5</v>
      </c>
      <c r="D259" s="1" t="s">
        <v>90</v>
      </c>
      <c r="E259" s="1" t="s">
        <v>90</v>
      </c>
      <c r="F259" s="1" t="s">
        <v>90</v>
      </c>
      <c r="G259" s="1" t="s">
        <v>90</v>
      </c>
      <c r="H259" s="1" t="s">
        <v>90</v>
      </c>
      <c r="I259" s="1">
        <v>1</v>
      </c>
      <c r="J259" s="1" t="s">
        <v>561</v>
      </c>
      <c r="K259" s="1" t="s">
        <v>562</v>
      </c>
      <c r="L259" s="5" t="s">
        <v>450</v>
      </c>
      <c r="M259" t="s">
        <v>90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301"/>
  <sheetViews>
    <sheetView topLeftCell="A64" zoomScale="85" zoomScaleNormal="85" workbookViewId="0">
      <selection activeCell="F82" sqref="F82"/>
    </sheetView>
  </sheetViews>
  <sheetFormatPr defaultRowHeight="16.5"/>
  <cols>
    <col min="3" max="3" width="14.125" bestFit="1" customWidth="1"/>
    <col min="4" max="4" width="7.875" bestFit="1" customWidth="1"/>
    <col min="5" max="5" width="11.125" bestFit="1" customWidth="1"/>
    <col min="6" max="6" width="8.125" bestFit="1" customWidth="1"/>
    <col min="7" max="7" width="30.125" bestFit="1" customWidth="1"/>
    <col min="8" max="8" width="24.5" bestFit="1" customWidth="1"/>
  </cols>
  <sheetData>
    <row r="1" spans="1:8">
      <c r="A1" s="1" t="s">
        <v>4</v>
      </c>
      <c r="B1" s="1" t="s">
        <v>0</v>
      </c>
      <c r="C1" s="1" t="s">
        <v>1</v>
      </c>
      <c r="D1" s="1" t="s">
        <v>5</v>
      </c>
      <c r="E1" s="1" t="s">
        <v>6</v>
      </c>
      <c r="F1" s="1" t="s">
        <v>7</v>
      </c>
      <c r="G1" s="1" t="s">
        <v>2</v>
      </c>
      <c r="H1" s="1" t="s">
        <v>3</v>
      </c>
    </row>
    <row r="2" spans="1:8">
      <c r="A2" s="1">
        <v>1</v>
      </c>
      <c r="B2" s="1">
        <v>1</v>
      </c>
      <c r="C2" t="s">
        <v>80</v>
      </c>
      <c r="D2" s="1">
        <v>-400</v>
      </c>
      <c r="E2" s="1">
        <v>1</v>
      </c>
      <c r="F2" s="1" t="s">
        <v>9</v>
      </c>
      <c r="G2" t="s">
        <v>12</v>
      </c>
      <c r="H2" s="1" t="s">
        <v>11</v>
      </c>
    </row>
    <row r="3" spans="1:8" ht="33">
      <c r="A3" s="1">
        <v>1</v>
      </c>
      <c r="B3" s="1">
        <v>2</v>
      </c>
      <c r="C3" t="s">
        <v>117</v>
      </c>
      <c r="D3" t="s">
        <v>13</v>
      </c>
      <c r="E3" s="1">
        <v>1</v>
      </c>
      <c r="F3" s="1" t="s">
        <v>9</v>
      </c>
      <c r="G3" s="2" t="s">
        <v>14</v>
      </c>
    </row>
    <row r="4" spans="1:8">
      <c r="A4" s="1">
        <v>1</v>
      </c>
      <c r="B4" s="1">
        <v>3</v>
      </c>
      <c r="C4" t="s">
        <v>80</v>
      </c>
      <c r="D4" t="s">
        <v>13</v>
      </c>
      <c r="E4" s="1">
        <v>1</v>
      </c>
      <c r="F4" s="1" t="s">
        <v>81</v>
      </c>
      <c r="G4" s="3" t="s">
        <v>15</v>
      </c>
    </row>
    <row r="5" spans="1:8">
      <c r="A5" s="1">
        <v>1</v>
      </c>
      <c r="B5" s="1">
        <v>4</v>
      </c>
      <c r="C5" t="s">
        <v>80</v>
      </c>
      <c r="D5" t="s">
        <v>13</v>
      </c>
      <c r="E5" s="1">
        <v>1</v>
      </c>
      <c r="F5" s="1" t="s">
        <v>81</v>
      </c>
      <c r="G5" s="3" t="s">
        <v>16</v>
      </c>
    </row>
    <row r="6" spans="1:8">
      <c r="A6" s="1">
        <v>1</v>
      </c>
      <c r="B6" s="1">
        <v>5</v>
      </c>
      <c r="C6" t="s">
        <v>80</v>
      </c>
      <c r="D6" t="s">
        <v>13</v>
      </c>
      <c r="E6" s="1">
        <v>1</v>
      </c>
      <c r="F6" s="1" t="s">
        <v>81</v>
      </c>
      <c r="G6" s="3" t="s">
        <v>17</v>
      </c>
    </row>
    <row r="7" spans="1:8">
      <c r="A7" s="1">
        <v>1</v>
      </c>
      <c r="B7" s="1">
        <v>6</v>
      </c>
      <c r="C7" t="s">
        <v>117</v>
      </c>
      <c r="D7" t="s">
        <v>13</v>
      </c>
      <c r="E7" s="1">
        <v>1</v>
      </c>
      <c r="F7" s="1" t="s">
        <v>9</v>
      </c>
      <c r="G7" s="3" t="s">
        <v>18</v>
      </c>
    </row>
    <row r="8" spans="1:8">
      <c r="A8" s="1">
        <v>1</v>
      </c>
      <c r="B8" s="1">
        <v>7</v>
      </c>
      <c r="C8" t="s">
        <v>117</v>
      </c>
      <c r="D8" t="s">
        <v>13</v>
      </c>
      <c r="E8" s="1">
        <v>1</v>
      </c>
      <c r="F8" s="1" t="s">
        <v>9</v>
      </c>
      <c r="G8" s="3" t="s">
        <v>19</v>
      </c>
    </row>
    <row r="9" spans="1:8">
      <c r="A9" s="1">
        <v>1</v>
      </c>
      <c r="B9" s="1">
        <v>8</v>
      </c>
      <c r="C9" t="s">
        <v>117</v>
      </c>
      <c r="D9" t="s">
        <v>13</v>
      </c>
      <c r="E9" s="1">
        <v>1</v>
      </c>
      <c r="F9" s="1" t="s">
        <v>9</v>
      </c>
      <c r="G9" s="3" t="s">
        <v>20</v>
      </c>
    </row>
    <row r="10" spans="1:8">
      <c r="A10" s="1">
        <v>1</v>
      </c>
      <c r="B10" s="1">
        <v>9</v>
      </c>
      <c r="C10" t="s">
        <v>117</v>
      </c>
      <c r="D10" t="s">
        <v>13</v>
      </c>
      <c r="E10" s="1">
        <v>1</v>
      </c>
      <c r="F10" s="1" t="s">
        <v>9</v>
      </c>
      <c r="G10" s="3" t="s">
        <v>21</v>
      </c>
    </row>
    <row r="11" spans="1:8">
      <c r="A11" s="1">
        <v>1</v>
      </c>
      <c r="B11" s="1">
        <v>10</v>
      </c>
      <c r="C11" t="s">
        <v>117</v>
      </c>
      <c r="D11" t="s">
        <v>13</v>
      </c>
      <c r="E11" s="1">
        <v>1</v>
      </c>
      <c r="F11" s="1" t="s">
        <v>9</v>
      </c>
      <c r="G11" s="3" t="s">
        <v>22</v>
      </c>
    </row>
    <row r="12" spans="1:8">
      <c r="A12" s="1">
        <v>1</v>
      </c>
      <c r="B12" s="1">
        <v>11</v>
      </c>
      <c r="C12" t="s">
        <v>117</v>
      </c>
      <c r="D12" t="s">
        <v>13</v>
      </c>
      <c r="E12" s="1">
        <v>1</v>
      </c>
      <c r="F12" s="1" t="s">
        <v>9</v>
      </c>
      <c r="G12" s="3" t="s">
        <v>23</v>
      </c>
    </row>
    <row r="13" spans="1:8">
      <c r="A13" s="1">
        <v>1</v>
      </c>
      <c r="B13" s="1">
        <v>12</v>
      </c>
      <c r="C13" t="s">
        <v>117</v>
      </c>
      <c r="D13" t="s">
        <v>13</v>
      </c>
      <c r="E13" s="1">
        <v>1</v>
      </c>
      <c r="F13" s="1" t="s">
        <v>9</v>
      </c>
      <c r="G13" s="3" t="s">
        <v>24</v>
      </c>
    </row>
    <row r="14" spans="1:8">
      <c r="A14" s="1">
        <v>1</v>
      </c>
      <c r="B14" s="1">
        <v>13</v>
      </c>
      <c r="C14" t="s">
        <v>117</v>
      </c>
      <c r="D14" t="s">
        <v>13</v>
      </c>
      <c r="E14" s="1">
        <v>1</v>
      </c>
      <c r="F14" s="1" t="s">
        <v>9</v>
      </c>
      <c r="G14" s="3" t="s">
        <v>25</v>
      </c>
    </row>
    <row r="15" spans="1:8">
      <c r="A15" s="1">
        <v>1</v>
      </c>
      <c r="B15" s="1">
        <v>14</v>
      </c>
      <c r="C15" t="s">
        <v>117</v>
      </c>
      <c r="D15" t="s">
        <v>13</v>
      </c>
      <c r="E15" s="1">
        <v>1</v>
      </c>
      <c r="F15" s="1" t="s">
        <v>9</v>
      </c>
      <c r="G15" s="3" t="s">
        <v>26</v>
      </c>
    </row>
    <row r="16" spans="1:8">
      <c r="A16" s="1">
        <v>1</v>
      </c>
      <c r="B16" s="1">
        <v>15</v>
      </c>
      <c r="C16" t="s">
        <v>117</v>
      </c>
      <c r="D16" t="s">
        <v>13</v>
      </c>
      <c r="E16" s="1">
        <v>1</v>
      </c>
      <c r="F16" s="1" t="s">
        <v>9</v>
      </c>
      <c r="G16" s="3" t="s">
        <v>27</v>
      </c>
    </row>
    <row r="17" spans="1:7">
      <c r="A17" s="1">
        <v>1</v>
      </c>
      <c r="B17" s="1">
        <v>16</v>
      </c>
      <c r="C17" t="s">
        <v>117</v>
      </c>
      <c r="D17" t="s">
        <v>13</v>
      </c>
      <c r="E17" s="1">
        <v>1</v>
      </c>
      <c r="F17" s="1" t="s">
        <v>9</v>
      </c>
      <c r="G17" s="3" t="s">
        <v>28</v>
      </c>
    </row>
    <row r="18" spans="1:7">
      <c r="A18" s="1">
        <v>1</v>
      </c>
      <c r="B18" s="1">
        <v>17</v>
      </c>
      <c r="C18" t="s">
        <v>80</v>
      </c>
      <c r="D18" t="s">
        <v>13</v>
      </c>
      <c r="E18" s="1">
        <v>1</v>
      </c>
      <c r="F18" s="1" t="s">
        <v>9</v>
      </c>
      <c r="G18" s="3" t="s">
        <v>29</v>
      </c>
    </row>
    <row r="19" spans="1:7">
      <c r="A19" s="1">
        <v>1</v>
      </c>
      <c r="B19" s="1">
        <v>18</v>
      </c>
      <c r="C19" t="s">
        <v>80</v>
      </c>
      <c r="D19" t="s">
        <v>13</v>
      </c>
      <c r="E19" s="1">
        <v>1</v>
      </c>
      <c r="F19" s="1" t="s">
        <v>81</v>
      </c>
      <c r="G19" s="3" t="s">
        <v>30</v>
      </c>
    </row>
    <row r="20" spans="1:7">
      <c r="A20" s="1">
        <v>1</v>
      </c>
      <c r="B20" s="1">
        <v>19</v>
      </c>
      <c r="C20" t="s">
        <v>117</v>
      </c>
      <c r="D20" t="s">
        <v>13</v>
      </c>
      <c r="E20" s="1">
        <v>1</v>
      </c>
      <c r="F20" s="1" t="s">
        <v>9</v>
      </c>
      <c r="G20" s="3" t="s">
        <v>31</v>
      </c>
    </row>
    <row r="21" spans="1:7">
      <c r="A21" s="1">
        <v>1</v>
      </c>
      <c r="B21" s="1">
        <v>20</v>
      </c>
      <c r="C21" t="s">
        <v>80</v>
      </c>
      <c r="D21" t="s">
        <v>13</v>
      </c>
      <c r="E21" s="1">
        <v>1</v>
      </c>
      <c r="F21" s="1" t="s">
        <v>9</v>
      </c>
      <c r="G21" s="3" t="s">
        <v>32</v>
      </c>
    </row>
    <row r="22" spans="1:7">
      <c r="A22" s="1">
        <v>1</v>
      </c>
      <c r="B22" s="1">
        <v>21</v>
      </c>
      <c r="C22" t="s">
        <v>80</v>
      </c>
      <c r="D22" t="s">
        <v>13</v>
      </c>
      <c r="E22" s="1">
        <v>1</v>
      </c>
      <c r="F22" s="1" t="s">
        <v>9</v>
      </c>
      <c r="G22" s="3" t="s">
        <v>33</v>
      </c>
    </row>
    <row r="23" spans="1:7">
      <c r="A23" s="1">
        <v>1</v>
      </c>
      <c r="B23" s="1">
        <v>22</v>
      </c>
      <c r="C23" t="s">
        <v>117</v>
      </c>
      <c r="D23" t="s">
        <v>13</v>
      </c>
      <c r="E23" s="1">
        <v>1</v>
      </c>
      <c r="F23" s="1" t="s">
        <v>9</v>
      </c>
      <c r="G23" s="3" t="s">
        <v>34</v>
      </c>
    </row>
    <row r="24" spans="1:7">
      <c r="A24" s="1">
        <v>1</v>
      </c>
      <c r="B24" s="1">
        <v>23</v>
      </c>
      <c r="C24" t="s">
        <v>117</v>
      </c>
      <c r="D24" t="s">
        <v>13</v>
      </c>
      <c r="E24" s="1">
        <v>1</v>
      </c>
      <c r="F24" s="1" t="s">
        <v>9</v>
      </c>
      <c r="G24" s="3" t="s">
        <v>35</v>
      </c>
    </row>
    <row r="25" spans="1:7">
      <c r="A25" s="1">
        <v>1</v>
      </c>
      <c r="B25" s="1">
        <v>24</v>
      </c>
      <c r="C25" t="s">
        <v>80</v>
      </c>
      <c r="D25" t="s">
        <v>13</v>
      </c>
      <c r="E25" s="1">
        <v>1</v>
      </c>
      <c r="F25" s="1" t="s">
        <v>9</v>
      </c>
      <c r="G25" s="3" t="s">
        <v>36</v>
      </c>
    </row>
    <row r="26" spans="1:7">
      <c r="A26" s="1">
        <v>1</v>
      </c>
      <c r="B26" s="1">
        <v>25</v>
      </c>
      <c r="C26" t="s">
        <v>80</v>
      </c>
      <c r="D26" t="s">
        <v>13</v>
      </c>
      <c r="E26" s="1">
        <v>1</v>
      </c>
      <c r="F26" s="1" t="s">
        <v>9</v>
      </c>
      <c r="G26" s="3" t="s">
        <v>37</v>
      </c>
    </row>
    <row r="27" spans="1:7">
      <c r="A27" s="1">
        <v>1</v>
      </c>
      <c r="B27" s="1">
        <v>26</v>
      </c>
      <c r="C27" t="s">
        <v>117</v>
      </c>
      <c r="D27" t="s">
        <v>13</v>
      </c>
      <c r="E27" s="1">
        <v>1</v>
      </c>
      <c r="F27" s="1" t="s">
        <v>9</v>
      </c>
      <c r="G27" s="3" t="s">
        <v>38</v>
      </c>
    </row>
    <row r="28" spans="1:7">
      <c r="A28" s="1">
        <v>1</v>
      </c>
      <c r="B28" s="1">
        <v>27</v>
      </c>
      <c r="C28" t="s">
        <v>117</v>
      </c>
      <c r="D28" t="s">
        <v>13</v>
      </c>
      <c r="E28" s="1">
        <v>1</v>
      </c>
      <c r="F28" s="1" t="s">
        <v>9</v>
      </c>
      <c r="G28" s="3" t="s">
        <v>39</v>
      </c>
    </row>
    <row r="29" spans="1:7">
      <c r="A29" s="1">
        <v>1</v>
      </c>
      <c r="B29" s="1">
        <v>28</v>
      </c>
      <c r="C29" t="s">
        <v>117</v>
      </c>
      <c r="D29" t="s">
        <v>13</v>
      </c>
      <c r="E29" s="1">
        <v>1</v>
      </c>
      <c r="F29" s="1" t="s">
        <v>9</v>
      </c>
      <c r="G29" s="3" t="s">
        <v>40</v>
      </c>
    </row>
    <row r="30" spans="1:7">
      <c r="A30" s="1">
        <v>1</v>
      </c>
      <c r="B30" s="1">
        <v>29</v>
      </c>
      <c r="C30" t="s">
        <v>80</v>
      </c>
      <c r="D30" t="s">
        <v>13</v>
      </c>
      <c r="E30" s="1">
        <v>1</v>
      </c>
      <c r="F30" s="1" t="s">
        <v>81</v>
      </c>
      <c r="G30" s="3" t="s">
        <v>41</v>
      </c>
    </row>
    <row r="31" spans="1:7" ht="33">
      <c r="A31" s="1">
        <v>1</v>
      </c>
      <c r="B31" s="1">
        <v>30</v>
      </c>
      <c r="C31" t="s">
        <v>80</v>
      </c>
      <c r="D31" t="s">
        <v>13</v>
      </c>
      <c r="E31" s="1">
        <v>1</v>
      </c>
      <c r="F31" s="1" t="s">
        <v>9</v>
      </c>
      <c r="G31" s="2" t="s">
        <v>42</v>
      </c>
    </row>
    <row r="32" spans="1:7">
      <c r="A32" s="1">
        <v>1</v>
      </c>
      <c r="B32" s="1">
        <v>31</v>
      </c>
      <c r="C32" t="s">
        <v>80</v>
      </c>
      <c r="D32" t="s">
        <v>13</v>
      </c>
      <c r="E32" s="1">
        <v>1</v>
      </c>
      <c r="F32" s="1" t="s">
        <v>9</v>
      </c>
      <c r="G32" s="3" t="s">
        <v>43</v>
      </c>
    </row>
    <row r="33" spans="1:7">
      <c r="A33" s="1">
        <v>1</v>
      </c>
      <c r="B33" s="1">
        <v>32</v>
      </c>
      <c r="C33" t="s">
        <v>117</v>
      </c>
      <c r="D33" t="s">
        <v>13</v>
      </c>
      <c r="E33" s="1">
        <v>1</v>
      </c>
      <c r="F33" s="1" t="s">
        <v>9</v>
      </c>
      <c r="G33" s="3" t="s">
        <v>44</v>
      </c>
    </row>
    <row r="34" spans="1:7">
      <c r="A34" s="1">
        <v>1</v>
      </c>
      <c r="B34" s="1">
        <v>33</v>
      </c>
      <c r="C34" t="s">
        <v>80</v>
      </c>
      <c r="D34" t="s">
        <v>13</v>
      </c>
      <c r="E34" s="1">
        <v>1</v>
      </c>
      <c r="F34" s="1" t="s">
        <v>9</v>
      </c>
      <c r="G34" s="3" t="s">
        <v>45</v>
      </c>
    </row>
    <row r="35" spans="1:7">
      <c r="A35" s="1">
        <v>1</v>
      </c>
      <c r="B35" s="1">
        <v>34</v>
      </c>
      <c r="C35" t="s">
        <v>80</v>
      </c>
      <c r="D35" t="s">
        <v>13</v>
      </c>
      <c r="E35" s="1">
        <v>1</v>
      </c>
      <c r="F35" s="1" t="s">
        <v>83</v>
      </c>
      <c r="G35" s="3" t="s">
        <v>46</v>
      </c>
    </row>
    <row r="36" spans="1:7">
      <c r="A36" s="1">
        <v>1</v>
      </c>
      <c r="B36" s="1">
        <v>35</v>
      </c>
      <c r="C36" t="s">
        <v>117</v>
      </c>
      <c r="D36" t="s">
        <v>13</v>
      </c>
      <c r="E36" s="1">
        <v>1</v>
      </c>
      <c r="F36" s="1" t="s">
        <v>9</v>
      </c>
      <c r="G36" s="3" t="s">
        <v>47</v>
      </c>
    </row>
    <row r="37" spans="1:7">
      <c r="A37" s="1">
        <v>1</v>
      </c>
      <c r="B37" s="1">
        <v>36</v>
      </c>
      <c r="C37" t="s">
        <v>117</v>
      </c>
      <c r="D37" t="s">
        <v>13</v>
      </c>
      <c r="E37" s="1">
        <v>1</v>
      </c>
      <c r="F37" s="1" t="s">
        <v>9</v>
      </c>
      <c r="G37" s="3" t="s">
        <v>48</v>
      </c>
    </row>
    <row r="38" spans="1:7">
      <c r="A38" s="1">
        <v>1</v>
      </c>
      <c r="B38" s="1">
        <v>37</v>
      </c>
      <c r="C38" t="s">
        <v>80</v>
      </c>
      <c r="D38" t="s">
        <v>13</v>
      </c>
      <c r="E38" s="1">
        <v>1</v>
      </c>
      <c r="F38" s="1" t="s">
        <v>82</v>
      </c>
      <c r="G38" s="3" t="s">
        <v>49</v>
      </c>
    </row>
    <row r="39" spans="1:7">
      <c r="A39" s="1">
        <v>1</v>
      </c>
      <c r="B39" s="1">
        <v>38</v>
      </c>
      <c r="C39" t="s">
        <v>80</v>
      </c>
      <c r="D39" t="s">
        <v>13</v>
      </c>
      <c r="E39" s="1">
        <v>1</v>
      </c>
      <c r="F39" s="1" t="s">
        <v>9</v>
      </c>
      <c r="G39" s="3" t="s">
        <v>50</v>
      </c>
    </row>
    <row r="40" spans="1:7">
      <c r="A40" s="1">
        <v>1</v>
      </c>
      <c r="B40" s="1">
        <v>39</v>
      </c>
      <c r="C40" t="s">
        <v>117</v>
      </c>
      <c r="D40" t="s">
        <v>13</v>
      </c>
      <c r="E40" s="1">
        <v>1</v>
      </c>
      <c r="F40" s="1" t="s">
        <v>9</v>
      </c>
      <c r="G40" s="3" t="s">
        <v>51</v>
      </c>
    </row>
    <row r="41" spans="1:7">
      <c r="A41" s="1">
        <v>1</v>
      </c>
      <c r="B41" s="1">
        <v>40</v>
      </c>
      <c r="C41" t="s">
        <v>80</v>
      </c>
      <c r="D41" t="s">
        <v>13</v>
      </c>
      <c r="E41" s="1">
        <v>1</v>
      </c>
      <c r="F41" s="1" t="s">
        <v>84</v>
      </c>
      <c r="G41" s="3" t="s">
        <v>52</v>
      </c>
    </row>
    <row r="42" spans="1:7">
      <c r="A42" s="1">
        <v>1</v>
      </c>
      <c r="B42" s="1">
        <v>41</v>
      </c>
      <c r="C42" t="s">
        <v>80</v>
      </c>
      <c r="D42" t="s">
        <v>13</v>
      </c>
      <c r="E42" s="1">
        <v>1</v>
      </c>
      <c r="F42" s="1" t="s">
        <v>84</v>
      </c>
      <c r="G42" s="3" t="s">
        <v>53</v>
      </c>
    </row>
    <row r="43" spans="1:7">
      <c r="A43" s="1">
        <v>1</v>
      </c>
      <c r="B43" s="1">
        <v>42</v>
      </c>
      <c r="C43" t="s">
        <v>117</v>
      </c>
      <c r="D43" t="s">
        <v>13</v>
      </c>
      <c r="E43" s="1">
        <v>1</v>
      </c>
      <c r="F43" s="1" t="s">
        <v>9</v>
      </c>
      <c r="G43" s="3" t="s">
        <v>54</v>
      </c>
    </row>
    <row r="44" spans="1:7">
      <c r="A44" s="1">
        <v>1</v>
      </c>
      <c r="B44" s="1">
        <v>43</v>
      </c>
      <c r="C44" t="s">
        <v>80</v>
      </c>
      <c r="D44" t="s">
        <v>13</v>
      </c>
      <c r="E44" s="1">
        <v>1</v>
      </c>
      <c r="F44" s="1" t="s">
        <v>85</v>
      </c>
      <c r="G44" s="3" t="s">
        <v>55</v>
      </c>
    </row>
    <row r="45" spans="1:7">
      <c r="A45" s="1">
        <v>1</v>
      </c>
      <c r="B45" s="1">
        <v>44</v>
      </c>
      <c r="C45" t="s">
        <v>117</v>
      </c>
      <c r="D45" t="s">
        <v>13</v>
      </c>
      <c r="E45" s="1">
        <v>1</v>
      </c>
      <c r="F45" s="1" t="s">
        <v>9</v>
      </c>
      <c r="G45" s="3" t="s">
        <v>56</v>
      </c>
    </row>
    <row r="46" spans="1:7">
      <c r="A46" s="1">
        <v>1</v>
      </c>
      <c r="B46" s="1">
        <v>45</v>
      </c>
      <c r="C46" t="s">
        <v>117</v>
      </c>
      <c r="D46" t="s">
        <v>13</v>
      </c>
      <c r="E46" s="1">
        <v>1</v>
      </c>
      <c r="F46" s="1" t="s">
        <v>9</v>
      </c>
      <c r="G46" s="3" t="s">
        <v>57</v>
      </c>
    </row>
    <row r="47" spans="1:7">
      <c r="A47" s="1">
        <v>1</v>
      </c>
      <c r="B47" s="1">
        <v>46</v>
      </c>
      <c r="C47" t="s">
        <v>80</v>
      </c>
      <c r="D47" t="s">
        <v>13</v>
      </c>
      <c r="E47" s="1">
        <v>1</v>
      </c>
      <c r="F47" s="1" t="s">
        <v>9</v>
      </c>
      <c r="G47" s="3" t="s">
        <v>58</v>
      </c>
    </row>
    <row r="48" spans="1:7">
      <c r="A48" s="1">
        <v>1</v>
      </c>
      <c r="B48" s="1">
        <v>47</v>
      </c>
      <c r="C48" t="s">
        <v>117</v>
      </c>
      <c r="D48" t="s">
        <v>13</v>
      </c>
      <c r="E48" s="1">
        <v>1</v>
      </c>
      <c r="F48" s="1" t="s">
        <v>9</v>
      </c>
      <c r="G48" s="3" t="s">
        <v>59</v>
      </c>
    </row>
    <row r="49" spans="1:7">
      <c r="A49" s="1">
        <v>1</v>
      </c>
      <c r="B49" s="1">
        <v>48</v>
      </c>
      <c r="C49" t="s">
        <v>117</v>
      </c>
      <c r="D49" t="s">
        <v>13</v>
      </c>
      <c r="E49" s="1">
        <v>1</v>
      </c>
      <c r="F49" s="1" t="s">
        <v>9</v>
      </c>
      <c r="G49" s="3" t="s">
        <v>60</v>
      </c>
    </row>
    <row r="50" spans="1:7">
      <c r="A50" s="1">
        <v>1</v>
      </c>
      <c r="B50" s="1">
        <v>49</v>
      </c>
      <c r="C50" t="s">
        <v>80</v>
      </c>
      <c r="D50" t="s">
        <v>13</v>
      </c>
      <c r="E50" s="1">
        <v>1</v>
      </c>
      <c r="F50" s="1" t="s">
        <v>87</v>
      </c>
      <c r="G50" s="3" t="s">
        <v>86</v>
      </c>
    </row>
    <row r="51" spans="1:7">
      <c r="A51" s="1">
        <v>1</v>
      </c>
      <c r="B51" s="1">
        <v>50</v>
      </c>
      <c r="C51" t="s">
        <v>117</v>
      </c>
      <c r="D51" t="s">
        <v>13</v>
      </c>
      <c r="E51" s="1">
        <v>1</v>
      </c>
      <c r="F51" s="1" t="s">
        <v>9</v>
      </c>
      <c r="G51" s="3" t="s">
        <v>61</v>
      </c>
    </row>
    <row r="52" spans="1:7">
      <c r="A52" s="1">
        <v>1</v>
      </c>
      <c r="B52" s="1">
        <v>51</v>
      </c>
      <c r="C52" t="s">
        <v>80</v>
      </c>
      <c r="D52" t="s">
        <v>13</v>
      </c>
      <c r="E52" s="1">
        <v>1</v>
      </c>
      <c r="F52" s="1" t="s">
        <v>84</v>
      </c>
      <c r="G52" s="3" t="s">
        <v>62</v>
      </c>
    </row>
    <row r="53" spans="1:7">
      <c r="A53" s="1">
        <v>1</v>
      </c>
      <c r="B53" s="1">
        <v>52</v>
      </c>
      <c r="C53" t="s">
        <v>117</v>
      </c>
      <c r="D53" t="s">
        <v>13</v>
      </c>
      <c r="E53" s="1">
        <v>1</v>
      </c>
      <c r="F53" s="1" t="s">
        <v>9</v>
      </c>
      <c r="G53" s="3" t="s">
        <v>63</v>
      </c>
    </row>
    <row r="54" spans="1:7">
      <c r="A54" s="1">
        <v>1</v>
      </c>
      <c r="B54" s="1">
        <v>53</v>
      </c>
      <c r="C54" t="s">
        <v>117</v>
      </c>
      <c r="D54" t="s">
        <v>13</v>
      </c>
      <c r="E54" s="1">
        <v>1</v>
      </c>
      <c r="F54" s="1" t="s">
        <v>9</v>
      </c>
      <c r="G54" s="3" t="s">
        <v>64</v>
      </c>
    </row>
    <row r="55" spans="1:7">
      <c r="A55" s="1">
        <v>1</v>
      </c>
      <c r="B55" s="1">
        <v>54</v>
      </c>
      <c r="C55" t="s">
        <v>117</v>
      </c>
      <c r="D55" t="s">
        <v>13</v>
      </c>
      <c r="E55" s="1">
        <v>1</v>
      </c>
      <c r="F55" s="1" t="s">
        <v>9</v>
      </c>
      <c r="G55" s="3" t="s">
        <v>65</v>
      </c>
    </row>
    <row r="56" spans="1:7">
      <c r="A56" s="1">
        <v>1</v>
      </c>
      <c r="B56" s="1">
        <v>55</v>
      </c>
      <c r="C56" t="s">
        <v>80</v>
      </c>
      <c r="D56" t="s">
        <v>13</v>
      </c>
      <c r="E56" s="1">
        <v>1</v>
      </c>
      <c r="F56" s="1" t="s">
        <v>82</v>
      </c>
      <c r="G56" s="3" t="s">
        <v>88</v>
      </c>
    </row>
    <row r="57" spans="1:7">
      <c r="A57" s="1">
        <v>1</v>
      </c>
      <c r="B57" s="1">
        <v>56</v>
      </c>
      <c r="C57" t="s">
        <v>80</v>
      </c>
      <c r="D57" t="s">
        <v>13</v>
      </c>
      <c r="E57" s="1">
        <v>1</v>
      </c>
      <c r="F57" s="1" t="s">
        <v>82</v>
      </c>
      <c r="G57" s="3" t="s">
        <v>66</v>
      </c>
    </row>
    <row r="58" spans="1:7">
      <c r="A58" s="1">
        <v>1</v>
      </c>
      <c r="B58" s="1">
        <v>57</v>
      </c>
      <c r="C58" t="s">
        <v>117</v>
      </c>
      <c r="D58" t="s">
        <v>13</v>
      </c>
      <c r="E58" s="1">
        <v>1</v>
      </c>
      <c r="F58" s="1" t="s">
        <v>9</v>
      </c>
      <c r="G58" s="3" t="s">
        <v>67</v>
      </c>
    </row>
    <row r="59" spans="1:7">
      <c r="A59" s="1">
        <v>1</v>
      </c>
      <c r="B59" s="1">
        <v>58</v>
      </c>
      <c r="C59" t="s">
        <v>80</v>
      </c>
      <c r="D59" t="s">
        <v>13</v>
      </c>
      <c r="E59" s="1">
        <v>1</v>
      </c>
      <c r="F59" s="1" t="s">
        <v>9</v>
      </c>
      <c r="G59" s="3" t="s">
        <v>68</v>
      </c>
    </row>
    <row r="60" spans="1:7">
      <c r="A60" s="1">
        <v>1</v>
      </c>
      <c r="B60" s="1">
        <v>59</v>
      </c>
      <c r="C60" t="s">
        <v>117</v>
      </c>
      <c r="D60" t="s">
        <v>13</v>
      </c>
      <c r="E60" s="1">
        <v>1</v>
      </c>
      <c r="F60" s="1" t="s">
        <v>9</v>
      </c>
      <c r="G60" s="3" t="s">
        <v>69</v>
      </c>
    </row>
    <row r="61" spans="1:7">
      <c r="A61" s="1">
        <v>1</v>
      </c>
      <c r="B61" s="1">
        <v>60</v>
      </c>
      <c r="C61" t="s">
        <v>117</v>
      </c>
      <c r="D61" t="s">
        <v>13</v>
      </c>
      <c r="E61" s="1">
        <v>1</v>
      </c>
      <c r="F61" s="1" t="s">
        <v>9</v>
      </c>
      <c r="G61" s="3" t="s">
        <v>70</v>
      </c>
    </row>
    <row r="62" spans="1:7">
      <c r="A62" s="1">
        <v>1</v>
      </c>
      <c r="B62" s="1">
        <v>61</v>
      </c>
      <c r="C62" t="s">
        <v>80</v>
      </c>
      <c r="D62" t="s">
        <v>13</v>
      </c>
      <c r="E62" s="1">
        <v>1</v>
      </c>
      <c r="F62" s="1" t="s">
        <v>82</v>
      </c>
      <c r="G62" s="3" t="s">
        <v>71</v>
      </c>
    </row>
    <row r="63" spans="1:7">
      <c r="A63" s="1">
        <v>1</v>
      </c>
      <c r="B63" s="1">
        <v>62</v>
      </c>
      <c r="C63" t="s">
        <v>117</v>
      </c>
      <c r="D63" t="s">
        <v>13</v>
      </c>
      <c r="E63" s="1">
        <v>1</v>
      </c>
      <c r="F63" s="1" t="s">
        <v>9</v>
      </c>
      <c r="G63" s="3" t="s">
        <v>89</v>
      </c>
    </row>
    <row r="64" spans="1:7">
      <c r="A64" s="1">
        <v>1</v>
      </c>
      <c r="B64" s="1">
        <v>63</v>
      </c>
      <c r="C64" t="s">
        <v>80</v>
      </c>
      <c r="D64" t="s">
        <v>13</v>
      </c>
      <c r="E64" s="1">
        <v>1</v>
      </c>
      <c r="F64" s="1" t="s">
        <v>9</v>
      </c>
      <c r="G64" s="3" t="s">
        <v>72</v>
      </c>
    </row>
    <row r="65" spans="1:7">
      <c r="A65" s="1">
        <v>1</v>
      </c>
      <c r="B65" s="1">
        <v>64</v>
      </c>
      <c r="C65" t="s">
        <v>80</v>
      </c>
      <c r="D65" t="s">
        <v>13</v>
      </c>
      <c r="E65" s="1">
        <v>1</v>
      </c>
      <c r="F65" s="1" t="s">
        <v>9</v>
      </c>
      <c r="G65" s="3" t="s">
        <v>73</v>
      </c>
    </row>
    <row r="66" spans="1:7">
      <c r="A66" s="1">
        <v>1</v>
      </c>
      <c r="B66" s="1">
        <v>65</v>
      </c>
      <c r="C66" t="s">
        <v>80</v>
      </c>
      <c r="D66" t="s">
        <v>13</v>
      </c>
      <c r="E66" s="1">
        <v>1</v>
      </c>
      <c r="F66" s="1" t="s">
        <v>9</v>
      </c>
      <c r="G66" s="3" t="s">
        <v>74</v>
      </c>
    </row>
    <row r="67" spans="1:7">
      <c r="A67" s="1">
        <v>1</v>
      </c>
      <c r="B67" s="1">
        <v>66</v>
      </c>
      <c r="C67" t="s">
        <v>117</v>
      </c>
      <c r="D67" t="s">
        <v>13</v>
      </c>
      <c r="E67" s="1">
        <v>1</v>
      </c>
      <c r="F67" s="1" t="s">
        <v>9</v>
      </c>
      <c r="G67" s="3" t="s">
        <v>75</v>
      </c>
    </row>
    <row r="68" spans="1:7">
      <c r="A68" s="1">
        <v>1</v>
      </c>
      <c r="B68" s="1">
        <v>67</v>
      </c>
      <c r="C68" t="s">
        <v>117</v>
      </c>
      <c r="D68" t="s">
        <v>13</v>
      </c>
      <c r="E68" s="1">
        <v>1</v>
      </c>
      <c r="F68" s="1" t="s">
        <v>9</v>
      </c>
      <c r="G68" s="3" t="s">
        <v>76</v>
      </c>
    </row>
    <row r="69" spans="1:7">
      <c r="A69" s="1">
        <v>1</v>
      </c>
      <c r="B69" s="1">
        <v>68</v>
      </c>
      <c r="C69" t="s">
        <v>117</v>
      </c>
      <c r="D69" t="s">
        <v>13</v>
      </c>
      <c r="E69" s="1">
        <v>1</v>
      </c>
      <c r="F69" s="1" t="s">
        <v>9</v>
      </c>
      <c r="G69" s="3" t="s">
        <v>77</v>
      </c>
    </row>
    <row r="70" spans="1:7">
      <c r="A70" s="1">
        <v>1</v>
      </c>
      <c r="B70" s="1">
        <v>69</v>
      </c>
      <c r="C70" t="s">
        <v>117</v>
      </c>
      <c r="D70" t="s">
        <v>13</v>
      </c>
      <c r="E70" s="1">
        <v>1</v>
      </c>
      <c r="F70" s="1" t="s">
        <v>9</v>
      </c>
      <c r="G70" s="3" t="s">
        <v>78</v>
      </c>
    </row>
    <row r="72" spans="1:7" ht="33">
      <c r="A72" s="1">
        <v>1</v>
      </c>
      <c r="B72" s="1">
        <v>70</v>
      </c>
      <c r="C72" t="s">
        <v>117</v>
      </c>
      <c r="D72" t="s">
        <v>95</v>
      </c>
      <c r="E72" s="1">
        <v>1</v>
      </c>
      <c r="F72" s="1" t="s">
        <v>91</v>
      </c>
      <c r="G72" s="2" t="s">
        <v>92</v>
      </c>
    </row>
    <row r="73" spans="1:7">
      <c r="A73" s="1">
        <v>1</v>
      </c>
      <c r="B73" s="1">
        <v>71</v>
      </c>
      <c r="C73" t="s">
        <v>117</v>
      </c>
      <c r="D73" t="s">
        <v>95</v>
      </c>
      <c r="E73" s="1">
        <v>1</v>
      </c>
      <c r="F73" s="1" t="s">
        <v>91</v>
      </c>
      <c r="G73" s="3" t="s">
        <v>93</v>
      </c>
    </row>
    <row r="74" spans="1:7">
      <c r="A74" s="1">
        <v>1</v>
      </c>
      <c r="B74" s="1">
        <v>72</v>
      </c>
      <c r="C74" t="s">
        <v>117</v>
      </c>
      <c r="D74" t="s">
        <v>95</v>
      </c>
      <c r="E74" s="1">
        <v>1</v>
      </c>
      <c r="F74" s="1" t="s">
        <v>91</v>
      </c>
      <c r="G74" s="3" t="s">
        <v>94</v>
      </c>
    </row>
    <row r="76" spans="1:7" ht="49.5">
      <c r="A76" s="1">
        <v>2</v>
      </c>
      <c r="B76" s="1">
        <v>1</v>
      </c>
      <c r="C76" t="s">
        <v>80</v>
      </c>
      <c r="D76" t="s">
        <v>13</v>
      </c>
      <c r="E76" s="1">
        <v>1</v>
      </c>
      <c r="F76" s="1" t="s">
        <v>9</v>
      </c>
      <c r="G76" s="2" t="s">
        <v>96</v>
      </c>
    </row>
    <row r="77" spans="1:7">
      <c r="A77" s="1">
        <v>2</v>
      </c>
      <c r="B77" s="1">
        <v>2</v>
      </c>
      <c r="C77" t="s">
        <v>117</v>
      </c>
      <c r="D77" t="s">
        <v>13</v>
      </c>
      <c r="E77" s="1">
        <v>1</v>
      </c>
      <c r="F77" s="1" t="s">
        <v>9</v>
      </c>
      <c r="G77" s="3" t="s">
        <v>97</v>
      </c>
    </row>
    <row r="78" spans="1:7">
      <c r="A78" s="1">
        <v>2</v>
      </c>
      <c r="B78" s="1">
        <v>3</v>
      </c>
      <c r="C78" t="s">
        <v>80</v>
      </c>
      <c r="D78" t="s">
        <v>13</v>
      </c>
      <c r="E78" s="1">
        <v>1</v>
      </c>
      <c r="F78" s="1" t="s">
        <v>9</v>
      </c>
      <c r="G78" s="3" t="s">
        <v>98</v>
      </c>
    </row>
    <row r="79" spans="1:7">
      <c r="A79" s="1">
        <v>2</v>
      </c>
      <c r="B79" s="1">
        <v>4</v>
      </c>
      <c r="C79" t="s">
        <v>117</v>
      </c>
      <c r="D79" t="s">
        <v>13</v>
      </c>
      <c r="E79" s="1">
        <v>1</v>
      </c>
      <c r="F79" s="1" t="s">
        <v>9</v>
      </c>
      <c r="G79" s="3" t="s">
        <v>99</v>
      </c>
    </row>
    <row r="80" spans="1:7">
      <c r="A80" s="1">
        <v>2</v>
      </c>
      <c r="B80" s="1">
        <v>5</v>
      </c>
      <c r="C80" t="s">
        <v>80</v>
      </c>
      <c r="D80" t="s">
        <v>13</v>
      </c>
      <c r="E80" s="1">
        <v>1</v>
      </c>
      <c r="F80" s="1" t="s">
        <v>9</v>
      </c>
      <c r="G80" s="3" t="s">
        <v>100</v>
      </c>
    </row>
    <row r="81" spans="1:7">
      <c r="A81" s="1">
        <v>2</v>
      </c>
      <c r="B81" s="1">
        <v>6</v>
      </c>
      <c r="C81" t="s">
        <v>117</v>
      </c>
      <c r="D81" t="s">
        <v>13</v>
      </c>
      <c r="E81" s="1">
        <v>1</v>
      </c>
      <c r="F81" s="1" t="s">
        <v>9</v>
      </c>
      <c r="G81" s="3" t="s">
        <v>101</v>
      </c>
    </row>
    <row r="82" spans="1:7">
      <c r="A82" s="1">
        <v>2</v>
      </c>
      <c r="B82" s="1">
        <v>7</v>
      </c>
      <c r="C82" t="s">
        <v>80</v>
      </c>
      <c r="D82" t="s">
        <v>13</v>
      </c>
      <c r="E82" s="1">
        <v>1</v>
      </c>
      <c r="F82" s="1" t="s">
        <v>81</v>
      </c>
      <c r="G82" s="3" t="s">
        <v>102</v>
      </c>
    </row>
    <row r="83" spans="1:7">
      <c r="A83" s="1">
        <v>2</v>
      </c>
      <c r="B83" s="1">
        <v>8</v>
      </c>
      <c r="C83" t="s">
        <v>117</v>
      </c>
      <c r="D83" t="s">
        <v>13</v>
      </c>
      <c r="E83" s="1">
        <v>1</v>
      </c>
      <c r="F83" s="1" t="s">
        <v>9</v>
      </c>
      <c r="G83" s="3" t="s">
        <v>103</v>
      </c>
    </row>
    <row r="84" spans="1:7">
      <c r="A84" s="1">
        <v>2</v>
      </c>
      <c r="B84" s="1">
        <v>9</v>
      </c>
      <c r="C84" t="s">
        <v>80</v>
      </c>
      <c r="D84" t="s">
        <v>13</v>
      </c>
      <c r="E84" s="1">
        <v>1</v>
      </c>
      <c r="F84" s="1" t="s">
        <v>9</v>
      </c>
      <c r="G84" s="3" t="s">
        <v>104</v>
      </c>
    </row>
    <row r="85" spans="1:7">
      <c r="A85" s="1">
        <v>2</v>
      </c>
      <c r="B85" s="1">
        <v>10</v>
      </c>
      <c r="C85" t="s">
        <v>118</v>
      </c>
      <c r="D85" t="s">
        <v>13</v>
      </c>
      <c r="E85" s="1">
        <v>1</v>
      </c>
      <c r="F85" s="1" t="s">
        <v>9</v>
      </c>
      <c r="G85" s="3" t="s">
        <v>105</v>
      </c>
    </row>
    <row r="86" spans="1:7">
      <c r="A86" s="1">
        <v>2</v>
      </c>
      <c r="B86" s="1">
        <v>11</v>
      </c>
      <c r="C86" t="s">
        <v>80</v>
      </c>
      <c r="D86" t="s">
        <v>13</v>
      </c>
      <c r="E86" s="1">
        <v>1</v>
      </c>
      <c r="F86" s="1" t="s">
        <v>9</v>
      </c>
      <c r="G86" s="3" t="s">
        <v>106</v>
      </c>
    </row>
    <row r="87" spans="1:7">
      <c r="A87" s="1">
        <v>2</v>
      </c>
      <c r="B87" s="1">
        <v>12</v>
      </c>
      <c r="C87" t="s">
        <v>119</v>
      </c>
      <c r="D87" t="s">
        <v>13</v>
      </c>
      <c r="E87" s="1">
        <v>1</v>
      </c>
      <c r="F87" s="1" t="s">
        <v>9</v>
      </c>
      <c r="G87" s="3" t="s">
        <v>107</v>
      </c>
    </row>
    <row r="88" spans="1:7">
      <c r="A88" s="1">
        <v>2</v>
      </c>
      <c r="B88" s="1">
        <v>13</v>
      </c>
      <c r="C88" t="s">
        <v>80</v>
      </c>
      <c r="D88" t="s">
        <v>13</v>
      </c>
      <c r="E88" s="1">
        <v>1</v>
      </c>
      <c r="F88" s="1" t="s">
        <v>9</v>
      </c>
      <c r="G88" s="3" t="s">
        <v>108</v>
      </c>
    </row>
    <row r="89" spans="1:7">
      <c r="A89" s="1">
        <v>2</v>
      </c>
      <c r="B89" s="1">
        <v>14</v>
      </c>
      <c r="C89" t="s">
        <v>80</v>
      </c>
      <c r="D89" t="s">
        <v>13</v>
      </c>
      <c r="E89" s="1">
        <v>1</v>
      </c>
      <c r="F89" s="1" t="s">
        <v>9</v>
      </c>
      <c r="G89" s="3" t="s">
        <v>109</v>
      </c>
    </row>
    <row r="90" spans="1:7">
      <c r="A90" s="1">
        <v>2</v>
      </c>
      <c r="B90" s="1">
        <v>15</v>
      </c>
      <c r="C90" t="s">
        <v>80</v>
      </c>
      <c r="D90" t="s">
        <v>13</v>
      </c>
      <c r="E90" s="1">
        <v>1</v>
      </c>
      <c r="F90" s="1" t="s">
        <v>9</v>
      </c>
      <c r="G90" s="3" t="s">
        <v>110</v>
      </c>
    </row>
    <row r="91" spans="1:7">
      <c r="A91" s="1">
        <v>2</v>
      </c>
      <c r="B91" s="1">
        <v>16</v>
      </c>
      <c r="C91" t="s">
        <v>118</v>
      </c>
      <c r="D91" t="s">
        <v>13</v>
      </c>
      <c r="E91" s="1">
        <v>1</v>
      </c>
      <c r="F91" s="1" t="s">
        <v>9</v>
      </c>
      <c r="G91" s="3" t="s">
        <v>111</v>
      </c>
    </row>
    <row r="92" spans="1:7">
      <c r="A92" s="1">
        <v>2</v>
      </c>
      <c r="B92" s="1">
        <v>17</v>
      </c>
      <c r="C92" t="s">
        <v>118</v>
      </c>
      <c r="D92" t="s">
        <v>13</v>
      </c>
      <c r="E92" s="1">
        <v>1</v>
      </c>
      <c r="F92" s="1" t="s">
        <v>9</v>
      </c>
      <c r="G92" s="3" t="s">
        <v>112</v>
      </c>
    </row>
    <row r="93" spans="1:7">
      <c r="A93" s="1"/>
      <c r="B93" s="1"/>
    </row>
    <row r="94" spans="1:7">
      <c r="A94" s="1">
        <v>3</v>
      </c>
      <c r="B94" s="1">
        <v>1</v>
      </c>
      <c r="C94" t="s">
        <v>117</v>
      </c>
      <c r="D94" t="s">
        <v>122</v>
      </c>
      <c r="E94" s="1">
        <v>1</v>
      </c>
      <c r="F94" s="1" t="s">
        <v>128</v>
      </c>
      <c r="G94" s="3" t="s">
        <v>113</v>
      </c>
    </row>
    <row r="95" spans="1:7">
      <c r="A95" s="1">
        <v>3</v>
      </c>
      <c r="B95" s="1">
        <v>2</v>
      </c>
      <c r="C95" t="s">
        <v>120</v>
      </c>
      <c r="D95" t="s">
        <v>123</v>
      </c>
      <c r="E95" s="1">
        <v>1</v>
      </c>
      <c r="F95" s="1" t="s">
        <v>128</v>
      </c>
      <c r="G95" s="3" t="s">
        <v>114</v>
      </c>
    </row>
    <row r="96" spans="1:7">
      <c r="A96" s="1">
        <v>3</v>
      </c>
      <c r="B96" s="1">
        <v>3</v>
      </c>
      <c r="C96" t="s">
        <v>121</v>
      </c>
      <c r="D96" t="s">
        <v>124</v>
      </c>
      <c r="E96" s="1">
        <v>1</v>
      </c>
      <c r="F96" s="1" t="s">
        <v>128</v>
      </c>
      <c r="G96" s="3" t="s">
        <v>115</v>
      </c>
    </row>
    <row r="97" spans="1:7">
      <c r="A97" s="1">
        <v>3</v>
      </c>
      <c r="B97" s="1">
        <v>4</v>
      </c>
      <c r="C97" t="s">
        <v>117</v>
      </c>
      <c r="D97" t="s">
        <v>122</v>
      </c>
      <c r="E97" s="1">
        <v>1</v>
      </c>
      <c r="F97" s="1" t="s">
        <v>128</v>
      </c>
      <c r="G97" s="3" t="s">
        <v>116</v>
      </c>
    </row>
    <row r="98" spans="1:7">
      <c r="A98" s="1">
        <v>3</v>
      </c>
      <c r="B98" s="1">
        <v>5</v>
      </c>
      <c r="C98" t="s">
        <v>120</v>
      </c>
      <c r="D98" t="s">
        <v>123</v>
      </c>
      <c r="E98" s="1">
        <v>1</v>
      </c>
      <c r="F98" s="1" t="s">
        <v>129</v>
      </c>
      <c r="G98" s="3" t="s">
        <v>125</v>
      </c>
    </row>
    <row r="99" spans="1:7">
      <c r="A99" s="1">
        <v>3</v>
      </c>
      <c r="B99" s="1">
        <v>6</v>
      </c>
      <c r="C99" t="s">
        <v>121</v>
      </c>
      <c r="D99" t="s">
        <v>124</v>
      </c>
      <c r="E99" s="1">
        <v>1</v>
      </c>
      <c r="F99" s="1" t="s">
        <v>129</v>
      </c>
      <c r="G99" s="3" t="s">
        <v>126</v>
      </c>
    </row>
    <row r="100" spans="1:7">
      <c r="A100" s="1">
        <v>3</v>
      </c>
      <c r="B100" s="1">
        <v>7</v>
      </c>
      <c r="C100" t="s">
        <v>121</v>
      </c>
      <c r="D100" t="s">
        <v>124</v>
      </c>
      <c r="E100" s="1">
        <v>1</v>
      </c>
      <c r="F100" s="1" t="s">
        <v>129</v>
      </c>
      <c r="G100" s="3" t="s">
        <v>127</v>
      </c>
    </row>
    <row r="101" spans="1:7">
      <c r="A101" s="1">
        <v>3</v>
      </c>
      <c r="B101" s="1">
        <v>8</v>
      </c>
      <c r="C101" t="s">
        <v>80</v>
      </c>
      <c r="D101" t="s">
        <v>122</v>
      </c>
      <c r="E101" s="1">
        <v>1</v>
      </c>
      <c r="F101" s="1" t="s">
        <v>129</v>
      </c>
      <c r="G101" s="3" t="s">
        <v>130</v>
      </c>
    </row>
    <row r="102" spans="1:7">
      <c r="A102" s="1">
        <v>3</v>
      </c>
      <c r="B102" s="1">
        <v>9</v>
      </c>
      <c r="C102" t="s">
        <v>80</v>
      </c>
      <c r="D102" t="s">
        <v>122</v>
      </c>
      <c r="E102" s="1">
        <v>1</v>
      </c>
      <c r="F102" s="1" t="s">
        <v>129</v>
      </c>
      <c r="G102" s="3" t="s">
        <v>131</v>
      </c>
    </row>
    <row r="103" spans="1:7">
      <c r="A103" s="1">
        <v>3</v>
      </c>
      <c r="B103" s="1">
        <v>10</v>
      </c>
      <c r="C103" t="s">
        <v>80</v>
      </c>
      <c r="D103" t="s">
        <v>122</v>
      </c>
      <c r="E103" s="1">
        <v>1</v>
      </c>
      <c r="F103" s="1" t="s">
        <v>129</v>
      </c>
      <c r="G103" s="3" t="s">
        <v>132</v>
      </c>
    </row>
    <row r="104" spans="1:7">
      <c r="A104" s="1">
        <v>3</v>
      </c>
      <c r="B104" s="1">
        <v>11</v>
      </c>
      <c r="C104" t="s">
        <v>80</v>
      </c>
      <c r="D104" t="s">
        <v>122</v>
      </c>
      <c r="E104" s="1">
        <v>1</v>
      </c>
      <c r="F104" s="1" t="s">
        <v>129</v>
      </c>
      <c r="G104" s="3" t="s">
        <v>133</v>
      </c>
    </row>
    <row r="105" spans="1:7">
      <c r="A105" s="1">
        <v>3</v>
      </c>
      <c r="B105" s="1">
        <v>12</v>
      </c>
      <c r="C105" t="s">
        <v>80</v>
      </c>
      <c r="D105" t="s">
        <v>122</v>
      </c>
      <c r="E105" s="1">
        <v>1</v>
      </c>
      <c r="F105" s="1" t="s">
        <v>129</v>
      </c>
      <c r="G105" s="3" t="s">
        <v>134</v>
      </c>
    </row>
    <row r="106" spans="1:7">
      <c r="A106" s="1">
        <v>3</v>
      </c>
      <c r="B106" s="1">
        <v>13</v>
      </c>
      <c r="C106" t="s">
        <v>117</v>
      </c>
      <c r="D106" t="s">
        <v>122</v>
      </c>
      <c r="E106" s="1">
        <v>1</v>
      </c>
      <c r="F106" s="1" t="s">
        <v>129</v>
      </c>
      <c r="G106" s="3" t="s">
        <v>135</v>
      </c>
    </row>
    <row r="107" spans="1:7">
      <c r="A107" s="1">
        <v>3</v>
      </c>
      <c r="B107" s="1">
        <v>14</v>
      </c>
      <c r="C107" t="s">
        <v>117</v>
      </c>
      <c r="D107" t="s">
        <v>122</v>
      </c>
      <c r="E107" s="1">
        <v>1</v>
      </c>
      <c r="F107" s="1" t="s">
        <v>129</v>
      </c>
      <c r="G107" s="3" t="s">
        <v>136</v>
      </c>
    </row>
    <row r="108" spans="1:7">
      <c r="A108" s="1">
        <v>3</v>
      </c>
      <c r="B108" s="1">
        <v>15</v>
      </c>
      <c r="C108" t="s">
        <v>80</v>
      </c>
      <c r="D108" t="s">
        <v>122</v>
      </c>
      <c r="E108" s="1">
        <v>1</v>
      </c>
      <c r="F108" s="1" t="s">
        <v>129</v>
      </c>
      <c r="G108" s="3" t="s">
        <v>137</v>
      </c>
    </row>
    <row r="109" spans="1:7">
      <c r="A109" s="1">
        <v>3</v>
      </c>
      <c r="B109" s="1">
        <v>16</v>
      </c>
      <c r="C109" t="s">
        <v>117</v>
      </c>
      <c r="D109" t="s">
        <v>122</v>
      </c>
      <c r="E109" s="1">
        <v>1</v>
      </c>
      <c r="F109" s="1" t="s">
        <v>129</v>
      </c>
      <c r="G109" s="3" t="s">
        <v>138</v>
      </c>
    </row>
    <row r="110" spans="1:7">
      <c r="A110" s="1"/>
      <c r="B110" s="1"/>
    </row>
    <row r="111" spans="1:7">
      <c r="A111" s="1"/>
      <c r="B111" s="1"/>
    </row>
    <row r="112" spans="1:7">
      <c r="A112" s="1">
        <v>4</v>
      </c>
      <c r="B112" s="1">
        <v>1</v>
      </c>
      <c r="C112" t="s">
        <v>117</v>
      </c>
      <c r="D112" t="s">
        <v>122</v>
      </c>
      <c r="E112" s="1">
        <v>1</v>
      </c>
      <c r="F112" s="1" t="s">
        <v>129</v>
      </c>
      <c r="G112" s="3" t="s">
        <v>139</v>
      </c>
    </row>
    <row r="113" spans="1:7">
      <c r="A113" s="1">
        <v>4</v>
      </c>
      <c r="B113" s="1">
        <v>2</v>
      </c>
      <c r="C113" t="s">
        <v>117</v>
      </c>
      <c r="D113" t="s">
        <v>122</v>
      </c>
      <c r="E113" s="1">
        <v>1</v>
      </c>
      <c r="F113" s="1" t="s">
        <v>129</v>
      </c>
      <c r="G113" s="3" t="s">
        <v>140</v>
      </c>
    </row>
    <row r="114" spans="1:7">
      <c r="A114" s="1">
        <v>4</v>
      </c>
      <c r="B114" s="1">
        <v>3</v>
      </c>
      <c r="C114" t="s">
        <v>117</v>
      </c>
      <c r="D114" t="s">
        <v>122</v>
      </c>
      <c r="E114" s="1">
        <v>1</v>
      </c>
      <c r="F114" s="1" t="s">
        <v>129</v>
      </c>
      <c r="G114" s="3" t="s">
        <v>141</v>
      </c>
    </row>
    <row r="115" spans="1:7">
      <c r="A115" s="1">
        <v>4</v>
      </c>
      <c r="B115" s="1">
        <v>4</v>
      </c>
      <c r="C115" t="s">
        <v>117</v>
      </c>
      <c r="D115" t="s">
        <v>122</v>
      </c>
      <c r="E115" s="1">
        <v>1</v>
      </c>
      <c r="F115" s="1" t="s">
        <v>129</v>
      </c>
      <c r="G115" s="3" t="s">
        <v>142</v>
      </c>
    </row>
    <row r="116" spans="1:7">
      <c r="A116" s="1">
        <v>4</v>
      </c>
      <c r="B116" s="1">
        <v>5</v>
      </c>
      <c r="C116" t="s">
        <v>117</v>
      </c>
      <c r="D116" t="s">
        <v>122</v>
      </c>
      <c r="E116" s="1">
        <v>1</v>
      </c>
      <c r="F116" s="1" t="s">
        <v>129</v>
      </c>
      <c r="G116" s="3" t="s">
        <v>143</v>
      </c>
    </row>
    <row r="117" spans="1:7">
      <c r="A117" s="1">
        <v>4</v>
      </c>
      <c r="B117" s="1">
        <v>6</v>
      </c>
      <c r="C117" t="s">
        <v>117</v>
      </c>
      <c r="D117" t="s">
        <v>122</v>
      </c>
      <c r="E117" s="1">
        <v>1</v>
      </c>
      <c r="F117" s="1" t="s">
        <v>129</v>
      </c>
      <c r="G117" s="3" t="s">
        <v>144</v>
      </c>
    </row>
    <row r="118" spans="1:7">
      <c r="A118" s="1">
        <v>4</v>
      </c>
      <c r="B118" s="1">
        <v>7</v>
      </c>
      <c r="C118" t="s">
        <v>117</v>
      </c>
      <c r="D118" t="s">
        <v>122</v>
      </c>
      <c r="E118" s="1">
        <v>1</v>
      </c>
      <c r="F118" s="1" t="s">
        <v>129</v>
      </c>
      <c r="G118" s="3" t="s">
        <v>145</v>
      </c>
    </row>
    <row r="119" spans="1:7">
      <c r="A119" s="1">
        <v>4</v>
      </c>
      <c r="B119" s="1">
        <v>8</v>
      </c>
      <c r="C119" t="s">
        <v>117</v>
      </c>
      <c r="D119" t="s">
        <v>122</v>
      </c>
      <c r="E119" s="1">
        <v>1</v>
      </c>
      <c r="F119" s="1" t="s">
        <v>129</v>
      </c>
      <c r="G119" s="3" t="s">
        <v>146</v>
      </c>
    </row>
    <row r="120" spans="1:7">
      <c r="A120" s="1">
        <v>4</v>
      </c>
      <c r="B120" s="1">
        <v>9</v>
      </c>
      <c r="C120" t="s">
        <v>117</v>
      </c>
      <c r="D120" t="s">
        <v>122</v>
      </c>
      <c r="E120" s="1">
        <v>1</v>
      </c>
      <c r="F120" s="1" t="s">
        <v>129</v>
      </c>
      <c r="G120" s="3" t="s">
        <v>147</v>
      </c>
    </row>
    <row r="121" spans="1:7">
      <c r="A121" s="1">
        <v>4</v>
      </c>
      <c r="B121" s="1">
        <v>10</v>
      </c>
      <c r="C121" t="s">
        <v>120</v>
      </c>
      <c r="D121" t="s">
        <v>122</v>
      </c>
      <c r="E121" s="1">
        <v>1</v>
      </c>
      <c r="F121" s="1" t="s">
        <v>174</v>
      </c>
      <c r="G121" s="3" t="s">
        <v>148</v>
      </c>
    </row>
    <row r="122" spans="1:7">
      <c r="A122" s="1">
        <v>4</v>
      </c>
      <c r="B122" s="1">
        <v>11</v>
      </c>
      <c r="C122" t="s">
        <v>121</v>
      </c>
      <c r="D122" t="s">
        <v>122</v>
      </c>
      <c r="E122" s="1">
        <v>1</v>
      </c>
      <c r="F122" s="1" t="s">
        <v>174</v>
      </c>
      <c r="G122" s="3" t="s">
        <v>149</v>
      </c>
    </row>
    <row r="123" spans="1:7">
      <c r="A123" s="1">
        <v>4</v>
      </c>
      <c r="B123" s="1">
        <v>12</v>
      </c>
      <c r="C123" t="s">
        <v>117</v>
      </c>
      <c r="D123" t="s">
        <v>122</v>
      </c>
      <c r="E123" s="1">
        <v>1</v>
      </c>
      <c r="F123" s="1" t="s">
        <v>129</v>
      </c>
      <c r="G123" s="3" t="s">
        <v>150</v>
      </c>
    </row>
    <row r="124" spans="1:7">
      <c r="A124" s="1">
        <v>4</v>
      </c>
      <c r="B124" s="1">
        <v>13</v>
      </c>
      <c r="C124" t="s">
        <v>117</v>
      </c>
      <c r="D124" t="s">
        <v>122</v>
      </c>
      <c r="E124" s="1">
        <v>1</v>
      </c>
      <c r="F124" s="1" t="s">
        <v>175</v>
      </c>
      <c r="G124" s="3" t="s">
        <v>151</v>
      </c>
    </row>
    <row r="125" spans="1:7">
      <c r="A125" s="1">
        <v>4</v>
      </c>
      <c r="B125" s="1">
        <v>14</v>
      </c>
      <c r="C125" t="s">
        <v>117</v>
      </c>
      <c r="D125" t="s">
        <v>122</v>
      </c>
      <c r="E125" s="1">
        <v>1</v>
      </c>
      <c r="F125" s="1" t="s">
        <v>175</v>
      </c>
      <c r="G125" s="3" t="s">
        <v>152</v>
      </c>
    </row>
    <row r="126" spans="1:7">
      <c r="A126" s="1">
        <v>4</v>
      </c>
      <c r="B126" s="1">
        <v>15</v>
      </c>
      <c r="C126" t="s">
        <v>117</v>
      </c>
      <c r="D126" t="s">
        <v>122</v>
      </c>
      <c r="E126" s="1">
        <v>1</v>
      </c>
      <c r="F126" s="1" t="s">
        <v>129</v>
      </c>
      <c r="G126" s="3" t="s">
        <v>153</v>
      </c>
    </row>
    <row r="127" spans="1:7">
      <c r="A127" s="1">
        <v>4</v>
      </c>
      <c r="B127" s="1">
        <v>16</v>
      </c>
      <c r="C127" t="s">
        <v>117</v>
      </c>
      <c r="D127" t="s">
        <v>122</v>
      </c>
      <c r="E127" s="1">
        <v>1</v>
      </c>
      <c r="F127" s="1" t="s">
        <v>129</v>
      </c>
      <c r="G127" s="3" t="s">
        <v>154</v>
      </c>
    </row>
    <row r="128" spans="1:7">
      <c r="A128" s="1">
        <v>4</v>
      </c>
      <c r="B128" s="1">
        <v>17</v>
      </c>
      <c r="C128" t="s">
        <v>117</v>
      </c>
      <c r="D128" t="s">
        <v>122</v>
      </c>
      <c r="E128" s="1">
        <v>1</v>
      </c>
      <c r="F128" s="1" t="s">
        <v>129</v>
      </c>
      <c r="G128" s="3" t="s">
        <v>155</v>
      </c>
    </row>
    <row r="129" spans="1:7">
      <c r="A129" s="1">
        <v>4</v>
      </c>
      <c r="B129" s="1">
        <v>18</v>
      </c>
      <c r="C129" t="s">
        <v>117</v>
      </c>
      <c r="D129" t="s">
        <v>122</v>
      </c>
      <c r="E129" s="1">
        <v>1</v>
      </c>
      <c r="F129" s="1" t="s">
        <v>129</v>
      </c>
      <c r="G129" s="3" t="s">
        <v>156</v>
      </c>
    </row>
    <row r="130" spans="1:7">
      <c r="A130" s="1">
        <v>4</v>
      </c>
      <c r="B130" s="1">
        <v>19</v>
      </c>
      <c r="C130" t="s">
        <v>117</v>
      </c>
      <c r="D130" t="s">
        <v>122</v>
      </c>
      <c r="E130" s="1">
        <v>1</v>
      </c>
      <c r="F130" s="1" t="s">
        <v>129</v>
      </c>
      <c r="G130" s="3" t="s">
        <v>157</v>
      </c>
    </row>
    <row r="131" spans="1:7">
      <c r="A131" s="1">
        <v>4</v>
      </c>
      <c r="B131" s="1">
        <v>20</v>
      </c>
      <c r="C131" t="s">
        <v>117</v>
      </c>
      <c r="D131" t="s">
        <v>122</v>
      </c>
      <c r="E131" s="1">
        <v>1</v>
      </c>
      <c r="F131" s="1" t="s">
        <v>129</v>
      </c>
      <c r="G131" s="3" t="s">
        <v>158</v>
      </c>
    </row>
    <row r="132" spans="1:7">
      <c r="A132" s="1">
        <v>4</v>
      </c>
      <c r="B132" s="1">
        <v>21</v>
      </c>
      <c r="C132" t="s">
        <v>117</v>
      </c>
      <c r="D132" t="s">
        <v>122</v>
      </c>
      <c r="E132" s="1">
        <v>1</v>
      </c>
      <c r="F132" s="1" t="s">
        <v>129</v>
      </c>
      <c r="G132" s="3" t="s">
        <v>159</v>
      </c>
    </row>
    <row r="133" spans="1:7">
      <c r="A133" s="1">
        <v>4</v>
      </c>
      <c r="B133" s="1">
        <v>22</v>
      </c>
      <c r="C133" t="s">
        <v>117</v>
      </c>
      <c r="D133" t="s">
        <v>122</v>
      </c>
      <c r="E133" s="1">
        <v>1</v>
      </c>
      <c r="F133" s="1" t="s">
        <v>129</v>
      </c>
      <c r="G133" s="3" t="s">
        <v>160</v>
      </c>
    </row>
    <row r="134" spans="1:7">
      <c r="A134" s="1">
        <v>4</v>
      </c>
      <c r="B134" s="1">
        <v>23</v>
      </c>
      <c r="C134" t="s">
        <v>117</v>
      </c>
      <c r="D134" t="s">
        <v>122</v>
      </c>
      <c r="E134" s="1">
        <v>1</v>
      </c>
      <c r="F134" s="1" t="s">
        <v>129</v>
      </c>
      <c r="G134" s="3" t="s">
        <v>161</v>
      </c>
    </row>
    <row r="135" spans="1:7">
      <c r="A135" s="1">
        <v>4</v>
      </c>
      <c r="B135" s="1">
        <v>24</v>
      </c>
      <c r="C135" t="s">
        <v>117</v>
      </c>
      <c r="D135" t="s">
        <v>122</v>
      </c>
      <c r="E135" s="1">
        <v>1</v>
      </c>
      <c r="F135" s="1" t="s">
        <v>129</v>
      </c>
      <c r="G135" s="3" t="s">
        <v>162</v>
      </c>
    </row>
    <row r="136" spans="1:7">
      <c r="A136" s="1">
        <v>4</v>
      </c>
      <c r="B136" s="1">
        <v>25</v>
      </c>
      <c r="C136" t="s">
        <v>117</v>
      </c>
      <c r="D136" t="s">
        <v>122</v>
      </c>
      <c r="E136" s="1">
        <v>1</v>
      </c>
      <c r="F136" s="1" t="s">
        <v>129</v>
      </c>
      <c r="G136" s="3" t="s">
        <v>167</v>
      </c>
    </row>
    <row r="137" spans="1:7">
      <c r="A137" s="1">
        <v>4</v>
      </c>
      <c r="B137" s="1">
        <v>26</v>
      </c>
      <c r="C137" t="s">
        <v>117</v>
      </c>
      <c r="D137" t="s">
        <v>122</v>
      </c>
      <c r="E137" s="1">
        <v>1</v>
      </c>
      <c r="F137" s="1" t="s">
        <v>129</v>
      </c>
      <c r="G137" s="3" t="s">
        <v>163</v>
      </c>
    </row>
    <row r="138" spans="1:7">
      <c r="A138" s="1">
        <v>4</v>
      </c>
      <c r="B138" s="1">
        <v>27</v>
      </c>
      <c r="C138" t="s">
        <v>117</v>
      </c>
      <c r="D138" t="s">
        <v>122</v>
      </c>
      <c r="E138" s="1">
        <v>1</v>
      </c>
      <c r="F138" s="1" t="s">
        <v>129</v>
      </c>
      <c r="G138" s="3" t="s">
        <v>164</v>
      </c>
    </row>
    <row r="139" spans="1:7">
      <c r="A139" s="1">
        <v>4</v>
      </c>
      <c r="B139" s="1">
        <v>28</v>
      </c>
      <c r="C139" t="s">
        <v>117</v>
      </c>
      <c r="D139" t="s">
        <v>122</v>
      </c>
      <c r="E139" s="1">
        <v>1</v>
      </c>
      <c r="F139" s="1" t="s">
        <v>129</v>
      </c>
      <c r="G139" s="3" t="s">
        <v>165</v>
      </c>
    </row>
    <row r="140" spans="1:7">
      <c r="A140" s="1">
        <v>4</v>
      </c>
      <c r="B140" s="1">
        <v>29</v>
      </c>
      <c r="C140" t="s">
        <v>117</v>
      </c>
      <c r="D140" t="s">
        <v>122</v>
      </c>
      <c r="E140" s="1">
        <v>1</v>
      </c>
      <c r="F140" s="1" t="s">
        <v>129</v>
      </c>
      <c r="G140" s="3" t="s">
        <v>166</v>
      </c>
    </row>
    <row r="141" spans="1:7">
      <c r="A141" s="1">
        <v>4</v>
      </c>
      <c r="B141" s="1">
        <v>30</v>
      </c>
      <c r="C141" t="s">
        <v>117</v>
      </c>
      <c r="D141" t="s">
        <v>122</v>
      </c>
      <c r="E141" s="1">
        <v>1</v>
      </c>
      <c r="F141" s="1" t="s">
        <v>129</v>
      </c>
      <c r="G141" s="3" t="s">
        <v>168</v>
      </c>
    </row>
    <row r="142" spans="1:7">
      <c r="A142" s="1">
        <v>4</v>
      </c>
      <c r="B142" s="1">
        <v>31</v>
      </c>
      <c r="C142" t="s">
        <v>117</v>
      </c>
      <c r="D142" t="s">
        <v>122</v>
      </c>
      <c r="E142" s="1">
        <v>1</v>
      </c>
      <c r="F142" s="1" t="s">
        <v>129</v>
      </c>
      <c r="G142" s="3" t="s">
        <v>169</v>
      </c>
    </row>
    <row r="143" spans="1:7">
      <c r="A143" s="1">
        <v>4</v>
      </c>
      <c r="B143" s="1">
        <v>32</v>
      </c>
      <c r="C143" t="s">
        <v>117</v>
      </c>
      <c r="D143" t="s">
        <v>122</v>
      </c>
      <c r="E143" s="1">
        <v>1</v>
      </c>
      <c r="F143" s="1" t="s">
        <v>129</v>
      </c>
      <c r="G143" s="3" t="s">
        <v>170</v>
      </c>
    </row>
    <row r="144" spans="1:7">
      <c r="A144" s="1">
        <v>4</v>
      </c>
      <c r="B144" s="1">
        <v>33</v>
      </c>
      <c r="C144" t="s">
        <v>117</v>
      </c>
      <c r="D144" t="s">
        <v>122</v>
      </c>
      <c r="E144" s="1">
        <v>1</v>
      </c>
      <c r="F144" s="1" t="s">
        <v>129</v>
      </c>
      <c r="G144" s="3" t="s">
        <v>171</v>
      </c>
    </row>
    <row r="145" spans="1:7">
      <c r="A145" s="1">
        <v>4</v>
      </c>
      <c r="B145" s="1">
        <v>34</v>
      </c>
      <c r="C145" t="s">
        <v>121</v>
      </c>
      <c r="D145" t="s">
        <v>124</v>
      </c>
      <c r="E145" s="1">
        <v>1</v>
      </c>
      <c r="F145" s="1" t="s">
        <v>174</v>
      </c>
      <c r="G145" s="3" t="s">
        <v>172</v>
      </c>
    </row>
    <row r="146" spans="1:7">
      <c r="A146" s="1">
        <v>4</v>
      </c>
      <c r="B146" s="1">
        <v>35</v>
      </c>
      <c r="C146" t="s">
        <v>120</v>
      </c>
      <c r="D146" t="s">
        <v>123</v>
      </c>
      <c r="E146" s="1">
        <v>1</v>
      </c>
      <c r="F146" s="1" t="s">
        <v>174</v>
      </c>
      <c r="G146" s="3" t="s">
        <v>172</v>
      </c>
    </row>
    <row r="147" spans="1:7">
      <c r="A147" s="1">
        <v>4</v>
      </c>
      <c r="B147" s="1">
        <v>36</v>
      </c>
      <c r="C147" t="s">
        <v>117</v>
      </c>
      <c r="D147" t="s">
        <v>122</v>
      </c>
      <c r="E147" s="1">
        <v>1</v>
      </c>
      <c r="F147" s="1" t="s">
        <v>129</v>
      </c>
      <c r="G147" s="3" t="s">
        <v>173</v>
      </c>
    </row>
    <row r="148" spans="1:7">
      <c r="A148" s="1" t="s">
        <v>176</v>
      </c>
      <c r="B148" s="1"/>
    </row>
    <row r="149" spans="1:7">
      <c r="A149" s="1">
        <v>5</v>
      </c>
      <c r="B149" s="1">
        <v>1</v>
      </c>
      <c r="C149" t="s">
        <v>214</v>
      </c>
      <c r="D149" t="s">
        <v>122</v>
      </c>
      <c r="E149" s="1">
        <v>1</v>
      </c>
      <c r="F149" s="1" t="s">
        <v>9</v>
      </c>
      <c r="G149" s="3" t="s">
        <v>177</v>
      </c>
    </row>
    <row r="150" spans="1:7">
      <c r="A150" s="1">
        <v>5</v>
      </c>
      <c r="B150" s="1">
        <v>2</v>
      </c>
      <c r="C150" t="s">
        <v>214</v>
      </c>
      <c r="D150" t="s">
        <v>122</v>
      </c>
      <c r="E150" s="1">
        <v>1</v>
      </c>
      <c r="F150" s="1" t="s">
        <v>9</v>
      </c>
      <c r="G150" s="3" t="s">
        <v>178</v>
      </c>
    </row>
    <row r="151" spans="1:7">
      <c r="A151" s="1">
        <v>5</v>
      </c>
      <c r="B151" s="1">
        <v>3</v>
      </c>
      <c r="C151" t="s">
        <v>214</v>
      </c>
      <c r="D151" t="s">
        <v>122</v>
      </c>
      <c r="E151" s="1">
        <v>1</v>
      </c>
      <c r="F151" s="1" t="s">
        <v>9</v>
      </c>
      <c r="G151" s="3" t="s">
        <v>179</v>
      </c>
    </row>
    <row r="152" spans="1:7">
      <c r="A152" s="1">
        <v>5</v>
      </c>
      <c r="B152" s="1">
        <v>4</v>
      </c>
      <c r="C152" t="s">
        <v>214</v>
      </c>
      <c r="D152" t="s">
        <v>122</v>
      </c>
      <c r="E152" s="1">
        <v>1</v>
      </c>
      <c r="F152" s="1" t="s">
        <v>9</v>
      </c>
      <c r="G152" s="3" t="s">
        <v>180</v>
      </c>
    </row>
    <row r="153" spans="1:7">
      <c r="A153" s="1">
        <v>5</v>
      </c>
      <c r="B153" s="1">
        <v>5</v>
      </c>
      <c r="C153" t="s">
        <v>214</v>
      </c>
      <c r="D153" t="s">
        <v>122</v>
      </c>
      <c r="E153" s="1">
        <v>1</v>
      </c>
      <c r="F153" s="1" t="s">
        <v>9</v>
      </c>
      <c r="G153" s="3" t="s">
        <v>181</v>
      </c>
    </row>
    <row r="154" spans="1:7">
      <c r="A154" s="1">
        <v>5</v>
      </c>
      <c r="B154" s="1">
        <v>6</v>
      </c>
      <c r="C154" t="s">
        <v>214</v>
      </c>
      <c r="D154" t="s">
        <v>122</v>
      </c>
      <c r="E154" s="1">
        <v>1</v>
      </c>
      <c r="F154" s="1" t="s">
        <v>9</v>
      </c>
      <c r="G154" s="3" t="s">
        <v>182</v>
      </c>
    </row>
    <row r="155" spans="1:7">
      <c r="A155" s="1">
        <v>5</v>
      </c>
      <c r="B155" s="1">
        <v>7</v>
      </c>
      <c r="C155" t="s">
        <v>214</v>
      </c>
      <c r="D155" t="s">
        <v>122</v>
      </c>
      <c r="E155" s="1">
        <v>1</v>
      </c>
      <c r="F155" s="1" t="s">
        <v>9</v>
      </c>
      <c r="G155" s="3" t="s">
        <v>183</v>
      </c>
    </row>
    <row r="156" spans="1:7">
      <c r="A156" s="1">
        <v>5</v>
      </c>
      <c r="B156" s="1">
        <v>8</v>
      </c>
      <c r="C156" t="s">
        <v>214</v>
      </c>
      <c r="D156" t="s">
        <v>122</v>
      </c>
      <c r="E156" s="1">
        <v>1</v>
      </c>
      <c r="F156" s="1" t="s">
        <v>9</v>
      </c>
      <c r="G156" s="3" t="s">
        <v>184</v>
      </c>
    </row>
    <row r="157" spans="1:7">
      <c r="A157" s="1">
        <v>5</v>
      </c>
      <c r="B157" s="1">
        <v>9</v>
      </c>
      <c r="C157" t="s">
        <v>214</v>
      </c>
      <c r="D157" t="s">
        <v>122</v>
      </c>
      <c r="E157" s="1">
        <v>1</v>
      </c>
      <c r="F157" s="1" t="s">
        <v>9</v>
      </c>
      <c r="G157" s="3" t="s">
        <v>185</v>
      </c>
    </row>
    <row r="158" spans="1:7">
      <c r="A158" s="1">
        <v>5</v>
      </c>
      <c r="B158" s="1">
        <v>10</v>
      </c>
      <c r="C158" t="s">
        <v>214</v>
      </c>
      <c r="D158" t="s">
        <v>122</v>
      </c>
      <c r="E158" s="1">
        <v>1</v>
      </c>
      <c r="F158" s="1" t="s">
        <v>9</v>
      </c>
      <c r="G158" s="3" t="s">
        <v>186</v>
      </c>
    </row>
    <row r="159" spans="1:7">
      <c r="A159" s="1"/>
      <c r="B159" s="1"/>
    </row>
    <row r="160" spans="1:7">
      <c r="A160" s="1">
        <v>6</v>
      </c>
      <c r="B160" s="1">
        <v>1</v>
      </c>
      <c r="C160" t="s">
        <v>212</v>
      </c>
      <c r="D160" t="s">
        <v>122</v>
      </c>
      <c r="E160" s="1">
        <v>1</v>
      </c>
      <c r="F160" s="1" t="s">
        <v>9</v>
      </c>
      <c r="G160" s="3" t="s">
        <v>188</v>
      </c>
    </row>
    <row r="161" spans="1:7">
      <c r="A161" s="1">
        <v>6</v>
      </c>
      <c r="B161" s="1">
        <v>2</v>
      </c>
      <c r="C161" t="s">
        <v>212</v>
      </c>
      <c r="D161" t="s">
        <v>122</v>
      </c>
      <c r="E161" s="1">
        <v>1</v>
      </c>
      <c r="F161" s="1" t="s">
        <v>9</v>
      </c>
      <c r="G161" s="3" t="s">
        <v>187</v>
      </c>
    </row>
    <row r="162" spans="1:7">
      <c r="A162" s="1">
        <v>6</v>
      </c>
      <c r="B162" s="1">
        <v>3</v>
      </c>
      <c r="C162" t="s">
        <v>212</v>
      </c>
      <c r="D162" t="s">
        <v>122</v>
      </c>
      <c r="E162" s="1">
        <v>1</v>
      </c>
      <c r="F162" s="1" t="s">
        <v>9</v>
      </c>
      <c r="G162" s="3" t="s">
        <v>189</v>
      </c>
    </row>
    <row r="163" spans="1:7">
      <c r="A163" s="1">
        <v>6</v>
      </c>
      <c r="B163" s="1">
        <v>4</v>
      </c>
      <c r="C163" t="s">
        <v>212</v>
      </c>
      <c r="D163" t="s">
        <v>122</v>
      </c>
      <c r="E163" s="1">
        <v>1</v>
      </c>
      <c r="F163" s="1" t="s">
        <v>9</v>
      </c>
      <c r="G163" s="3" t="s">
        <v>190</v>
      </c>
    </row>
    <row r="164" spans="1:7">
      <c r="A164" s="1">
        <v>6</v>
      </c>
      <c r="B164" s="1">
        <v>5</v>
      </c>
      <c r="C164" t="s">
        <v>214</v>
      </c>
      <c r="D164" t="s">
        <v>122</v>
      </c>
      <c r="E164" s="1">
        <v>1</v>
      </c>
      <c r="F164" s="1" t="s">
        <v>9</v>
      </c>
      <c r="G164" s="3" t="s">
        <v>191</v>
      </c>
    </row>
    <row r="165" spans="1:7">
      <c r="A165" s="1">
        <v>6</v>
      </c>
      <c r="B165" s="1">
        <v>6</v>
      </c>
      <c r="C165" t="s">
        <v>212</v>
      </c>
      <c r="D165" t="s">
        <v>122</v>
      </c>
      <c r="E165" s="1">
        <v>1</v>
      </c>
      <c r="F165" s="1" t="s">
        <v>211</v>
      </c>
      <c r="G165" s="3" t="s">
        <v>45</v>
      </c>
    </row>
    <row r="166" spans="1:7">
      <c r="A166" s="1">
        <v>6</v>
      </c>
      <c r="B166" s="1">
        <v>7</v>
      </c>
      <c r="C166" t="s">
        <v>212</v>
      </c>
      <c r="D166" t="s">
        <v>122</v>
      </c>
      <c r="E166" s="1">
        <v>1</v>
      </c>
      <c r="F166" s="1" t="s">
        <v>211</v>
      </c>
      <c r="G166" s="3" t="s">
        <v>192</v>
      </c>
    </row>
    <row r="167" spans="1:7">
      <c r="A167" s="1">
        <v>6</v>
      </c>
      <c r="B167" s="1">
        <v>8</v>
      </c>
      <c r="C167" t="s">
        <v>212</v>
      </c>
      <c r="D167" t="s">
        <v>122</v>
      </c>
      <c r="E167" s="1">
        <v>1</v>
      </c>
      <c r="F167" s="1" t="s">
        <v>211</v>
      </c>
      <c r="G167" s="3" t="s">
        <v>193</v>
      </c>
    </row>
    <row r="168" spans="1:7">
      <c r="A168" s="1">
        <v>6</v>
      </c>
      <c r="B168" s="1">
        <v>9</v>
      </c>
      <c r="C168" t="s">
        <v>214</v>
      </c>
      <c r="D168" t="s">
        <v>122</v>
      </c>
      <c r="E168" s="1">
        <v>1</v>
      </c>
      <c r="F168" s="1" t="s">
        <v>9</v>
      </c>
      <c r="G168" s="3" t="s">
        <v>194</v>
      </c>
    </row>
    <row r="169" spans="1:7">
      <c r="A169" s="1">
        <v>6</v>
      </c>
      <c r="B169" s="1">
        <v>10</v>
      </c>
      <c r="C169" t="s">
        <v>214</v>
      </c>
      <c r="D169" t="s">
        <v>122</v>
      </c>
      <c r="E169" s="1">
        <v>1</v>
      </c>
      <c r="F169" s="1" t="s">
        <v>9</v>
      </c>
      <c r="G169" s="3" t="s">
        <v>195</v>
      </c>
    </row>
    <row r="170" spans="1:7">
      <c r="A170" s="1">
        <v>6</v>
      </c>
      <c r="B170" s="1">
        <v>11</v>
      </c>
      <c r="C170" t="s">
        <v>212</v>
      </c>
      <c r="D170" t="s">
        <v>122</v>
      </c>
      <c r="E170" s="1">
        <v>1</v>
      </c>
      <c r="F170" s="1" t="s">
        <v>211</v>
      </c>
      <c r="G170" s="3" t="s">
        <v>196</v>
      </c>
    </row>
    <row r="171" spans="1:7">
      <c r="A171" s="1">
        <v>6</v>
      </c>
      <c r="B171" s="1">
        <v>12</v>
      </c>
      <c r="C171" t="s">
        <v>214</v>
      </c>
      <c r="D171" t="s">
        <v>122</v>
      </c>
      <c r="E171" s="1">
        <v>1</v>
      </c>
      <c r="F171" s="1" t="s">
        <v>9</v>
      </c>
      <c r="G171" s="3" t="s">
        <v>197</v>
      </c>
    </row>
    <row r="172" spans="1:7">
      <c r="A172" s="1">
        <v>6</v>
      </c>
      <c r="B172" s="1">
        <v>13</v>
      </c>
      <c r="C172" t="s">
        <v>214</v>
      </c>
      <c r="D172" t="s">
        <v>122</v>
      </c>
      <c r="E172" s="1">
        <v>1</v>
      </c>
      <c r="F172" s="1" t="s">
        <v>9</v>
      </c>
      <c r="G172" s="3" t="s">
        <v>198</v>
      </c>
    </row>
    <row r="173" spans="1:7">
      <c r="A173" s="1">
        <v>6</v>
      </c>
      <c r="B173" s="1">
        <v>14</v>
      </c>
      <c r="C173" t="s">
        <v>242</v>
      </c>
      <c r="D173" t="s">
        <v>122</v>
      </c>
      <c r="E173" s="1">
        <v>1</v>
      </c>
      <c r="F173" s="1" t="s">
        <v>9</v>
      </c>
      <c r="G173" s="3" t="s">
        <v>199</v>
      </c>
    </row>
    <row r="174" spans="1:7">
      <c r="A174" s="1">
        <v>6</v>
      </c>
      <c r="B174" s="1">
        <v>15</v>
      </c>
      <c r="C174" t="s">
        <v>242</v>
      </c>
      <c r="D174" t="s">
        <v>122</v>
      </c>
      <c r="E174" s="1">
        <v>1</v>
      </c>
      <c r="F174" s="1" t="s">
        <v>9</v>
      </c>
      <c r="G174" s="3" t="s">
        <v>200</v>
      </c>
    </row>
    <row r="175" spans="1:7">
      <c r="A175" s="1">
        <v>6</v>
      </c>
      <c r="B175" s="1">
        <v>16</v>
      </c>
      <c r="C175" t="s">
        <v>216</v>
      </c>
      <c r="D175" t="s">
        <v>122</v>
      </c>
      <c r="E175" s="1">
        <v>1</v>
      </c>
      <c r="F175" s="1" t="s">
        <v>9</v>
      </c>
      <c r="G175" s="3" t="s">
        <v>201</v>
      </c>
    </row>
    <row r="176" spans="1:7">
      <c r="A176" s="1">
        <v>6</v>
      </c>
      <c r="B176" s="1">
        <v>17</v>
      </c>
      <c r="C176" t="s">
        <v>242</v>
      </c>
      <c r="D176" t="s">
        <v>122</v>
      </c>
      <c r="E176" s="1">
        <v>1</v>
      </c>
      <c r="F176" s="1" t="s">
        <v>9</v>
      </c>
      <c r="G176" s="3" t="s">
        <v>202</v>
      </c>
    </row>
    <row r="177" spans="1:7">
      <c r="A177" s="1">
        <v>6</v>
      </c>
      <c r="B177" s="1">
        <v>18</v>
      </c>
      <c r="C177" t="s">
        <v>242</v>
      </c>
      <c r="D177" t="s">
        <v>122</v>
      </c>
      <c r="E177" s="1">
        <v>1</v>
      </c>
      <c r="F177" s="1" t="s">
        <v>9</v>
      </c>
      <c r="G177" s="3" t="s">
        <v>203</v>
      </c>
    </row>
    <row r="178" spans="1:7">
      <c r="A178" s="1">
        <v>6</v>
      </c>
      <c r="B178" s="1">
        <v>19</v>
      </c>
      <c r="C178" t="s">
        <v>214</v>
      </c>
      <c r="D178" t="s">
        <v>122</v>
      </c>
      <c r="E178" s="1">
        <v>1</v>
      </c>
      <c r="F178" s="1" t="s">
        <v>9</v>
      </c>
      <c r="G178" s="3" t="s">
        <v>204</v>
      </c>
    </row>
    <row r="179" spans="1:7">
      <c r="A179" s="1">
        <v>6</v>
      </c>
      <c r="B179" s="1">
        <v>20</v>
      </c>
      <c r="C179" t="s">
        <v>242</v>
      </c>
      <c r="D179" t="s">
        <v>122</v>
      </c>
      <c r="E179" s="1">
        <v>1</v>
      </c>
      <c r="F179" s="1" t="s">
        <v>9</v>
      </c>
      <c r="G179" s="3" t="s">
        <v>205</v>
      </c>
    </row>
    <row r="180" spans="1:7">
      <c r="A180" s="1">
        <v>6</v>
      </c>
      <c r="B180" s="1">
        <v>21</v>
      </c>
      <c r="C180" t="s">
        <v>214</v>
      </c>
      <c r="D180" t="s">
        <v>122</v>
      </c>
      <c r="E180" s="1">
        <v>1</v>
      </c>
      <c r="F180" s="1" t="s">
        <v>9</v>
      </c>
      <c r="G180" s="3" t="s">
        <v>206</v>
      </c>
    </row>
    <row r="181" spans="1:7">
      <c r="A181" s="1">
        <v>6</v>
      </c>
      <c r="B181" s="1">
        <v>22</v>
      </c>
      <c r="C181" t="s">
        <v>242</v>
      </c>
      <c r="D181" t="s">
        <v>122</v>
      </c>
      <c r="E181" s="1">
        <v>1</v>
      </c>
      <c r="F181" s="1" t="s">
        <v>9</v>
      </c>
      <c r="G181" s="3" t="s">
        <v>207</v>
      </c>
    </row>
    <row r="182" spans="1:7">
      <c r="A182" s="1">
        <v>6</v>
      </c>
      <c r="B182" s="1">
        <v>23</v>
      </c>
      <c r="C182" t="s">
        <v>214</v>
      </c>
      <c r="D182" t="s">
        <v>122</v>
      </c>
      <c r="E182" s="1">
        <v>1</v>
      </c>
      <c r="F182" s="1" t="s">
        <v>9</v>
      </c>
      <c r="G182" s="3" t="s">
        <v>208</v>
      </c>
    </row>
    <row r="183" spans="1:7">
      <c r="A183" s="1">
        <v>6</v>
      </c>
      <c r="B183" s="1">
        <v>24</v>
      </c>
      <c r="C183" t="s">
        <v>212</v>
      </c>
      <c r="D183" t="s">
        <v>122</v>
      </c>
      <c r="E183" s="1">
        <v>1</v>
      </c>
      <c r="F183" s="1" t="s">
        <v>9</v>
      </c>
      <c r="G183" s="3" t="s">
        <v>209</v>
      </c>
    </row>
    <row r="184" spans="1:7">
      <c r="A184" s="1">
        <v>6</v>
      </c>
      <c r="B184" s="1">
        <v>25</v>
      </c>
      <c r="C184" t="s">
        <v>212</v>
      </c>
      <c r="D184" t="s">
        <v>122</v>
      </c>
      <c r="E184" s="1">
        <v>1</v>
      </c>
      <c r="F184" s="1" t="s">
        <v>9</v>
      </c>
      <c r="G184" s="3" t="s">
        <v>210</v>
      </c>
    </row>
    <row r="185" spans="1:7">
      <c r="A185" t="s">
        <v>215</v>
      </c>
    </row>
    <row r="186" spans="1:7">
      <c r="A186" s="1">
        <v>7</v>
      </c>
      <c r="B186" s="1">
        <v>1</v>
      </c>
      <c r="C186" t="s">
        <v>217</v>
      </c>
      <c r="D186" t="s">
        <v>122</v>
      </c>
      <c r="E186" s="1">
        <v>1</v>
      </c>
      <c r="F186" s="1" t="s">
        <v>9</v>
      </c>
      <c r="G186" s="3" t="s">
        <v>218</v>
      </c>
    </row>
    <row r="187" spans="1:7">
      <c r="A187" s="1">
        <v>7</v>
      </c>
      <c r="B187" s="1">
        <v>2</v>
      </c>
      <c r="C187" t="s">
        <v>242</v>
      </c>
      <c r="D187" t="s">
        <v>123</v>
      </c>
      <c r="E187" s="1">
        <v>1</v>
      </c>
      <c r="F187" s="1" t="s">
        <v>244</v>
      </c>
      <c r="G187" s="3" t="s">
        <v>219</v>
      </c>
    </row>
    <row r="188" spans="1:7">
      <c r="A188" s="1">
        <v>7</v>
      </c>
      <c r="B188" s="1">
        <v>3</v>
      </c>
      <c r="C188" t="s">
        <v>217</v>
      </c>
      <c r="D188" t="s">
        <v>122</v>
      </c>
      <c r="E188" s="1">
        <v>1</v>
      </c>
      <c r="F188" s="1" t="s">
        <v>9</v>
      </c>
      <c r="G188" s="3" t="s">
        <v>220</v>
      </c>
    </row>
    <row r="189" spans="1:7">
      <c r="A189" s="1">
        <v>7</v>
      </c>
      <c r="B189" s="1">
        <v>4</v>
      </c>
      <c r="C189" t="s">
        <v>217</v>
      </c>
      <c r="D189" t="s">
        <v>122</v>
      </c>
      <c r="E189" s="1">
        <v>1</v>
      </c>
      <c r="F189" s="1" t="s">
        <v>9</v>
      </c>
      <c r="G189" s="3" t="s">
        <v>221</v>
      </c>
    </row>
    <row r="190" spans="1:7">
      <c r="A190" s="1">
        <v>7</v>
      </c>
      <c r="B190" s="1">
        <v>5</v>
      </c>
      <c r="C190" t="s">
        <v>217</v>
      </c>
      <c r="D190" t="s">
        <v>122</v>
      </c>
      <c r="E190" s="1">
        <v>1</v>
      </c>
      <c r="F190" s="1" t="s">
        <v>9</v>
      </c>
      <c r="G190" s="3" t="s">
        <v>222</v>
      </c>
    </row>
    <row r="191" spans="1:7">
      <c r="A191" s="1">
        <v>7</v>
      </c>
      <c r="B191" s="1">
        <v>6</v>
      </c>
      <c r="C191" t="s">
        <v>242</v>
      </c>
      <c r="D191" t="s">
        <v>123</v>
      </c>
      <c r="E191" s="1">
        <v>1</v>
      </c>
      <c r="F191" t="s">
        <v>245</v>
      </c>
      <c r="G191" s="3" t="s">
        <v>223</v>
      </c>
    </row>
    <row r="192" spans="1:7">
      <c r="A192" s="1">
        <v>7</v>
      </c>
      <c r="B192" s="1">
        <v>7</v>
      </c>
      <c r="C192" t="s">
        <v>217</v>
      </c>
      <c r="D192" t="s">
        <v>122</v>
      </c>
      <c r="E192" s="1">
        <v>1</v>
      </c>
      <c r="F192" s="1" t="s">
        <v>9</v>
      </c>
      <c r="G192" s="3" t="s">
        <v>224</v>
      </c>
    </row>
    <row r="193" spans="1:7">
      <c r="A193" s="1">
        <v>7</v>
      </c>
      <c r="B193" s="1">
        <v>8</v>
      </c>
      <c r="C193" t="s">
        <v>217</v>
      </c>
      <c r="D193" t="s">
        <v>122</v>
      </c>
      <c r="E193" s="1">
        <v>1</v>
      </c>
      <c r="F193" s="1" t="s">
        <v>9</v>
      </c>
      <c r="G193" s="3" t="s">
        <v>225</v>
      </c>
    </row>
    <row r="194" spans="1:7">
      <c r="A194" s="1">
        <v>7</v>
      </c>
      <c r="B194" s="1">
        <v>9</v>
      </c>
      <c r="C194" t="s">
        <v>212</v>
      </c>
      <c r="D194" t="s">
        <v>124</v>
      </c>
      <c r="E194" s="1">
        <v>1</v>
      </c>
      <c r="F194" t="s">
        <v>245</v>
      </c>
      <c r="G194" s="3" t="s">
        <v>226</v>
      </c>
    </row>
    <row r="195" spans="1:7">
      <c r="A195" s="1">
        <v>7</v>
      </c>
      <c r="B195" s="1">
        <v>10</v>
      </c>
      <c r="C195" t="s">
        <v>242</v>
      </c>
      <c r="D195" t="s">
        <v>123</v>
      </c>
      <c r="E195" s="1">
        <v>1</v>
      </c>
      <c r="F195" t="s">
        <v>246</v>
      </c>
      <c r="G195" s="3" t="s">
        <v>227</v>
      </c>
    </row>
    <row r="196" spans="1:7">
      <c r="A196" s="1">
        <v>7</v>
      </c>
      <c r="B196" s="1">
        <v>11</v>
      </c>
      <c r="C196" t="s">
        <v>242</v>
      </c>
      <c r="D196" t="s">
        <v>123</v>
      </c>
      <c r="E196" s="1">
        <v>1</v>
      </c>
      <c r="F196" t="s">
        <v>246</v>
      </c>
      <c r="G196" s="3" t="s">
        <v>229</v>
      </c>
    </row>
    <row r="197" spans="1:7">
      <c r="A197" s="1">
        <v>7</v>
      </c>
      <c r="B197" s="1">
        <v>12</v>
      </c>
      <c r="C197" t="s">
        <v>217</v>
      </c>
      <c r="D197" t="s">
        <v>122</v>
      </c>
      <c r="E197" s="1">
        <v>1</v>
      </c>
      <c r="F197" s="1" t="s">
        <v>9</v>
      </c>
      <c r="G197" s="3" t="s">
        <v>228</v>
      </c>
    </row>
    <row r="198" spans="1:7">
      <c r="A198" s="1">
        <v>7</v>
      </c>
      <c r="B198" s="1">
        <v>13</v>
      </c>
      <c r="C198" t="s">
        <v>212</v>
      </c>
      <c r="D198" t="s">
        <v>124</v>
      </c>
      <c r="E198" s="1">
        <v>1</v>
      </c>
      <c r="F198" t="s">
        <v>247</v>
      </c>
      <c r="G198" s="3" t="s">
        <v>230</v>
      </c>
    </row>
    <row r="199" spans="1:7">
      <c r="A199" s="1">
        <v>7</v>
      </c>
      <c r="B199" s="1">
        <v>14</v>
      </c>
      <c r="C199" t="s">
        <v>217</v>
      </c>
      <c r="D199" t="s">
        <v>122</v>
      </c>
      <c r="E199" s="1">
        <v>1</v>
      </c>
      <c r="F199" s="1" t="s">
        <v>9</v>
      </c>
      <c r="G199" s="3" t="s">
        <v>231</v>
      </c>
    </row>
    <row r="200" spans="1:7">
      <c r="A200" s="1">
        <v>7</v>
      </c>
      <c r="B200" s="1">
        <v>15</v>
      </c>
      <c r="C200" t="s">
        <v>212</v>
      </c>
      <c r="D200" t="s">
        <v>243</v>
      </c>
      <c r="E200" s="1">
        <v>1</v>
      </c>
      <c r="F200" t="s">
        <v>83</v>
      </c>
      <c r="G200" s="3" t="s">
        <v>232</v>
      </c>
    </row>
    <row r="201" spans="1:7">
      <c r="A201" s="1">
        <v>7</v>
      </c>
      <c r="B201" s="1">
        <v>16</v>
      </c>
      <c r="C201" t="s">
        <v>217</v>
      </c>
      <c r="D201" t="s">
        <v>122</v>
      </c>
      <c r="E201" s="1">
        <v>1</v>
      </c>
      <c r="F201" s="1" t="s">
        <v>9</v>
      </c>
      <c r="G201" s="3" t="s">
        <v>233</v>
      </c>
    </row>
    <row r="202" spans="1:7">
      <c r="A202" s="1">
        <v>7</v>
      </c>
      <c r="B202" s="1">
        <v>17</v>
      </c>
      <c r="C202" t="s">
        <v>217</v>
      </c>
      <c r="D202" t="s">
        <v>122</v>
      </c>
      <c r="E202" s="1">
        <v>1</v>
      </c>
      <c r="F202" s="1" t="s">
        <v>9</v>
      </c>
      <c r="G202" s="3" t="s">
        <v>234</v>
      </c>
    </row>
    <row r="203" spans="1:7">
      <c r="A203" s="1">
        <v>7</v>
      </c>
      <c r="B203" s="1">
        <v>18</v>
      </c>
      <c r="C203" t="s">
        <v>217</v>
      </c>
      <c r="D203" t="s">
        <v>122</v>
      </c>
      <c r="E203" s="1">
        <v>1</v>
      </c>
      <c r="F203" s="1" t="s">
        <v>9</v>
      </c>
      <c r="G203" s="3" t="s">
        <v>235</v>
      </c>
    </row>
    <row r="204" spans="1:7">
      <c r="A204" s="1">
        <v>7</v>
      </c>
      <c r="B204" s="1">
        <v>19</v>
      </c>
      <c r="C204" t="s">
        <v>212</v>
      </c>
      <c r="D204" t="s">
        <v>124</v>
      </c>
      <c r="E204" s="1">
        <v>1</v>
      </c>
      <c r="F204" s="1" t="s">
        <v>9</v>
      </c>
      <c r="G204" s="3" t="s">
        <v>236</v>
      </c>
    </row>
    <row r="205" spans="1:7">
      <c r="A205" s="1">
        <v>7</v>
      </c>
      <c r="B205" s="1">
        <v>20</v>
      </c>
      <c r="C205" t="s">
        <v>217</v>
      </c>
      <c r="D205" t="s">
        <v>122</v>
      </c>
      <c r="E205" s="1">
        <v>1</v>
      </c>
      <c r="F205" s="1" t="s">
        <v>9</v>
      </c>
      <c r="G205" s="3" t="s">
        <v>237</v>
      </c>
    </row>
    <row r="206" spans="1:7">
      <c r="A206" s="1">
        <v>7</v>
      </c>
      <c r="B206" s="1">
        <v>21</v>
      </c>
      <c r="C206" t="s">
        <v>217</v>
      </c>
      <c r="D206" t="s">
        <v>122</v>
      </c>
      <c r="E206" s="1">
        <v>1</v>
      </c>
      <c r="F206" s="1" t="s">
        <v>9</v>
      </c>
      <c r="G206" s="3" t="s">
        <v>238</v>
      </c>
    </row>
    <row r="207" spans="1:7">
      <c r="A207" s="1">
        <v>7</v>
      </c>
      <c r="B207" s="1">
        <v>22</v>
      </c>
      <c r="C207" t="s">
        <v>217</v>
      </c>
      <c r="D207" t="s">
        <v>122</v>
      </c>
      <c r="E207" s="1">
        <v>1</v>
      </c>
      <c r="F207" s="1" t="s">
        <v>9</v>
      </c>
      <c r="G207" s="3" t="s">
        <v>239</v>
      </c>
    </row>
    <row r="208" spans="1:7">
      <c r="A208" s="1">
        <v>7</v>
      </c>
      <c r="B208" s="1">
        <v>23</v>
      </c>
      <c r="C208" t="s">
        <v>212</v>
      </c>
      <c r="D208" t="s">
        <v>124</v>
      </c>
      <c r="E208" s="1">
        <v>1</v>
      </c>
      <c r="F208" s="1" t="s">
        <v>9</v>
      </c>
      <c r="G208" s="3" t="s">
        <v>240</v>
      </c>
    </row>
    <row r="209" spans="1:7">
      <c r="A209" s="1">
        <v>7</v>
      </c>
      <c r="B209" s="1">
        <v>24</v>
      </c>
      <c r="C209" t="s">
        <v>217</v>
      </c>
      <c r="D209" t="s">
        <v>122</v>
      </c>
      <c r="E209" s="1">
        <v>1</v>
      </c>
      <c r="F209" s="1" t="s">
        <v>9</v>
      </c>
      <c r="G209" s="3" t="s">
        <v>241</v>
      </c>
    </row>
    <row r="211" spans="1:7">
      <c r="A211" s="1">
        <v>8</v>
      </c>
      <c r="B211" s="1">
        <v>1</v>
      </c>
      <c r="C211" t="s">
        <v>301</v>
      </c>
      <c r="D211" t="s">
        <v>122</v>
      </c>
      <c r="E211" s="1">
        <v>1</v>
      </c>
      <c r="F211" s="1" t="s">
        <v>9</v>
      </c>
      <c r="G211" s="3" t="s">
        <v>248</v>
      </c>
    </row>
    <row r="212" spans="1:7">
      <c r="A212" s="1">
        <v>8</v>
      </c>
      <c r="B212" s="1">
        <v>2</v>
      </c>
      <c r="C212" t="s">
        <v>242</v>
      </c>
      <c r="D212" t="s">
        <v>123</v>
      </c>
      <c r="E212" s="1">
        <v>1</v>
      </c>
      <c r="F212" s="1" t="s">
        <v>9</v>
      </c>
      <c r="G212" s="3" t="s">
        <v>249</v>
      </c>
    </row>
    <row r="213" spans="1:7">
      <c r="A213" s="1">
        <v>8</v>
      </c>
      <c r="B213" s="1">
        <v>3</v>
      </c>
      <c r="C213" t="s">
        <v>301</v>
      </c>
      <c r="D213" t="s">
        <v>122</v>
      </c>
      <c r="E213" s="1">
        <v>1</v>
      </c>
      <c r="F213" s="1" t="s">
        <v>9</v>
      </c>
      <c r="G213" s="3" t="s">
        <v>250</v>
      </c>
    </row>
    <row r="214" spans="1:7">
      <c r="A214" s="1">
        <v>8</v>
      </c>
      <c r="B214" s="1">
        <v>4</v>
      </c>
      <c r="C214" t="s">
        <v>301</v>
      </c>
      <c r="D214" t="s">
        <v>122</v>
      </c>
      <c r="E214" s="1">
        <v>1</v>
      </c>
      <c r="F214" s="1" t="s">
        <v>9</v>
      </c>
      <c r="G214" s="3" t="s">
        <v>251</v>
      </c>
    </row>
    <row r="215" spans="1:7">
      <c r="A215" s="1">
        <v>8</v>
      </c>
      <c r="B215" s="1">
        <v>5</v>
      </c>
      <c r="C215" t="s">
        <v>301</v>
      </c>
      <c r="D215" t="s">
        <v>122</v>
      </c>
      <c r="E215" s="1">
        <v>1</v>
      </c>
      <c r="F215" s="1" t="s">
        <v>9</v>
      </c>
      <c r="G215" s="3" t="s">
        <v>252</v>
      </c>
    </row>
    <row r="216" spans="1:7">
      <c r="A216" s="1">
        <v>8</v>
      </c>
      <c r="B216" s="1">
        <v>6</v>
      </c>
      <c r="C216" t="s">
        <v>301</v>
      </c>
      <c r="D216" t="s">
        <v>122</v>
      </c>
      <c r="E216" s="1">
        <v>1</v>
      </c>
      <c r="F216" s="1" t="s">
        <v>9</v>
      </c>
      <c r="G216" s="3" t="s">
        <v>253</v>
      </c>
    </row>
    <row r="217" spans="1:7">
      <c r="A217" s="1">
        <v>8</v>
      </c>
      <c r="B217" s="1">
        <v>7</v>
      </c>
      <c r="C217" t="s">
        <v>242</v>
      </c>
      <c r="D217" t="s">
        <v>123</v>
      </c>
      <c r="E217" s="1">
        <v>1</v>
      </c>
      <c r="F217" s="1" t="s">
        <v>9</v>
      </c>
      <c r="G217" s="3" t="s">
        <v>254</v>
      </c>
    </row>
    <row r="218" spans="1:7">
      <c r="A218" s="1">
        <v>8</v>
      </c>
      <c r="B218" s="1">
        <v>8</v>
      </c>
      <c r="C218" t="s">
        <v>301</v>
      </c>
      <c r="D218" t="s">
        <v>122</v>
      </c>
      <c r="E218" s="1">
        <v>1</v>
      </c>
      <c r="F218" s="1" t="s">
        <v>9</v>
      </c>
      <c r="G218" s="3" t="s">
        <v>255</v>
      </c>
    </row>
    <row r="219" spans="1:7">
      <c r="A219" s="1">
        <v>8</v>
      </c>
      <c r="B219" s="1">
        <v>9</v>
      </c>
      <c r="C219" t="s">
        <v>301</v>
      </c>
      <c r="D219" t="s">
        <v>122</v>
      </c>
      <c r="E219" s="1">
        <v>1</v>
      </c>
      <c r="F219" s="1" t="s">
        <v>9</v>
      </c>
      <c r="G219" s="3" t="s">
        <v>256</v>
      </c>
    </row>
    <row r="220" spans="1:7">
      <c r="A220" s="1">
        <v>8</v>
      </c>
      <c r="B220" s="1">
        <v>10</v>
      </c>
      <c r="C220" t="s">
        <v>301</v>
      </c>
      <c r="D220" t="s">
        <v>122</v>
      </c>
      <c r="E220" s="1">
        <v>1</v>
      </c>
      <c r="F220" s="1" t="s">
        <v>9</v>
      </c>
      <c r="G220" s="3" t="s">
        <v>257</v>
      </c>
    </row>
    <row r="221" spans="1:7">
      <c r="A221" s="1">
        <v>8</v>
      </c>
      <c r="B221" s="1">
        <v>11</v>
      </c>
      <c r="C221" t="s">
        <v>212</v>
      </c>
      <c r="D221" t="s">
        <v>124</v>
      </c>
      <c r="E221" s="1">
        <v>1</v>
      </c>
      <c r="F221" s="1" t="s">
        <v>9</v>
      </c>
      <c r="G221" s="3" t="s">
        <v>258</v>
      </c>
    </row>
    <row r="222" spans="1:7">
      <c r="A222" s="1">
        <v>8</v>
      </c>
      <c r="B222" s="1">
        <v>12</v>
      </c>
      <c r="C222" t="s">
        <v>301</v>
      </c>
      <c r="D222" t="s">
        <v>122</v>
      </c>
      <c r="E222" s="1">
        <v>1</v>
      </c>
      <c r="F222" s="1" t="s">
        <v>9</v>
      </c>
      <c r="G222" s="3" t="s">
        <v>259</v>
      </c>
    </row>
    <row r="223" spans="1:7">
      <c r="A223" s="1">
        <v>8</v>
      </c>
      <c r="B223" s="1">
        <v>13</v>
      </c>
      <c r="C223" t="s">
        <v>301</v>
      </c>
      <c r="D223" t="s">
        <v>122</v>
      </c>
      <c r="E223" s="1">
        <v>1</v>
      </c>
      <c r="F223" s="1" t="s">
        <v>9</v>
      </c>
      <c r="G223" s="3" t="s">
        <v>260</v>
      </c>
    </row>
    <row r="224" spans="1:7">
      <c r="A224" s="1">
        <v>8</v>
      </c>
      <c r="B224" s="1">
        <v>14</v>
      </c>
      <c r="C224" t="s">
        <v>301</v>
      </c>
      <c r="D224" t="s">
        <v>122</v>
      </c>
      <c r="E224" s="1">
        <v>1</v>
      </c>
      <c r="F224" s="1" t="s">
        <v>9</v>
      </c>
      <c r="G224" s="3" t="s">
        <v>261</v>
      </c>
    </row>
    <row r="225" spans="1:7">
      <c r="A225" s="1">
        <v>8</v>
      </c>
      <c r="B225" s="1">
        <v>15</v>
      </c>
      <c r="C225" t="s">
        <v>301</v>
      </c>
      <c r="D225" t="s">
        <v>122</v>
      </c>
      <c r="E225" s="1">
        <v>1</v>
      </c>
      <c r="F225" s="1" t="s">
        <v>9</v>
      </c>
      <c r="G225" s="3" t="s">
        <v>262</v>
      </c>
    </row>
    <row r="226" spans="1:7">
      <c r="A226" s="1">
        <v>8</v>
      </c>
      <c r="B226" s="1">
        <v>16</v>
      </c>
      <c r="C226" t="s">
        <v>212</v>
      </c>
      <c r="D226" t="s">
        <v>124</v>
      </c>
      <c r="E226" s="1">
        <v>1</v>
      </c>
      <c r="F226" s="1" t="s">
        <v>9</v>
      </c>
      <c r="G226" s="3" t="s">
        <v>263</v>
      </c>
    </row>
    <row r="227" spans="1:7">
      <c r="A227" s="1">
        <v>8</v>
      </c>
      <c r="B227" s="1">
        <v>17</v>
      </c>
      <c r="C227" t="s">
        <v>242</v>
      </c>
      <c r="D227" t="s">
        <v>123</v>
      </c>
      <c r="E227" s="1">
        <v>1</v>
      </c>
      <c r="F227" s="1" t="s">
        <v>9</v>
      </c>
      <c r="G227" s="3" t="s">
        <v>264</v>
      </c>
    </row>
    <row r="228" spans="1:7">
      <c r="A228" s="1">
        <v>8</v>
      </c>
      <c r="B228" s="1">
        <v>18</v>
      </c>
      <c r="C228" t="s">
        <v>242</v>
      </c>
      <c r="D228" t="s">
        <v>123</v>
      </c>
      <c r="E228" s="1">
        <v>1</v>
      </c>
      <c r="F228" s="1" t="s">
        <v>9</v>
      </c>
      <c r="G228" s="3" t="s">
        <v>265</v>
      </c>
    </row>
    <row r="229" spans="1:7">
      <c r="A229" s="1">
        <v>8</v>
      </c>
      <c r="B229" s="1">
        <v>19</v>
      </c>
      <c r="C229" t="s">
        <v>301</v>
      </c>
      <c r="D229" t="s">
        <v>122</v>
      </c>
      <c r="E229" s="1">
        <v>1</v>
      </c>
      <c r="F229" s="1" t="s">
        <v>9</v>
      </c>
      <c r="G229" s="3" t="s">
        <v>228</v>
      </c>
    </row>
    <row r="230" spans="1:7">
      <c r="A230" s="1">
        <v>8</v>
      </c>
      <c r="B230" s="1">
        <v>20</v>
      </c>
      <c r="C230" t="s">
        <v>301</v>
      </c>
      <c r="D230" t="s">
        <v>122</v>
      </c>
      <c r="E230" s="1">
        <v>1</v>
      </c>
      <c r="F230" s="1" t="s">
        <v>9</v>
      </c>
      <c r="G230" s="3" t="s">
        <v>266</v>
      </c>
    </row>
    <row r="231" spans="1:7">
      <c r="A231" s="1">
        <v>8</v>
      </c>
      <c r="B231" s="1">
        <v>21</v>
      </c>
      <c r="C231" t="s">
        <v>212</v>
      </c>
      <c r="D231" t="s">
        <v>122</v>
      </c>
      <c r="E231" s="1">
        <v>1</v>
      </c>
      <c r="F231" s="1" t="s">
        <v>9</v>
      </c>
      <c r="G231" s="3" t="s">
        <v>267</v>
      </c>
    </row>
    <row r="232" spans="1:7">
      <c r="A232" s="1">
        <v>8</v>
      </c>
      <c r="B232" s="1">
        <v>22</v>
      </c>
      <c r="C232" t="s">
        <v>301</v>
      </c>
      <c r="D232" t="s">
        <v>122</v>
      </c>
      <c r="E232" s="1">
        <v>1</v>
      </c>
      <c r="F232" s="1" t="s">
        <v>9</v>
      </c>
      <c r="G232" s="3" t="s">
        <v>233</v>
      </c>
    </row>
    <row r="233" spans="1:7">
      <c r="A233" s="1">
        <v>8</v>
      </c>
      <c r="B233" s="1">
        <v>23</v>
      </c>
      <c r="C233" t="s">
        <v>301</v>
      </c>
      <c r="D233" t="s">
        <v>122</v>
      </c>
      <c r="E233" s="1">
        <v>1</v>
      </c>
      <c r="F233" s="1" t="s">
        <v>9</v>
      </c>
      <c r="G233" s="3" t="s">
        <v>268</v>
      </c>
    </row>
    <row r="234" spans="1:7">
      <c r="A234" s="1">
        <v>8</v>
      </c>
      <c r="B234" s="1">
        <v>24</v>
      </c>
      <c r="C234" t="s">
        <v>301</v>
      </c>
      <c r="D234" t="s">
        <v>122</v>
      </c>
      <c r="E234" s="1">
        <v>1</v>
      </c>
      <c r="F234" s="1" t="s">
        <v>9</v>
      </c>
      <c r="G234" s="3" t="s">
        <v>269</v>
      </c>
    </row>
    <row r="235" spans="1:7">
      <c r="A235" s="1">
        <v>8</v>
      </c>
      <c r="B235" s="1">
        <v>25</v>
      </c>
      <c r="C235" t="s">
        <v>212</v>
      </c>
      <c r="D235" t="s">
        <v>122</v>
      </c>
      <c r="E235" s="1">
        <v>1</v>
      </c>
      <c r="F235" s="1" t="s">
        <v>9</v>
      </c>
      <c r="G235" s="3" t="s">
        <v>270</v>
      </c>
    </row>
    <row r="236" spans="1:7">
      <c r="A236" s="1">
        <v>8</v>
      </c>
      <c r="B236" s="1">
        <v>26</v>
      </c>
      <c r="C236" t="s">
        <v>212</v>
      </c>
      <c r="D236" t="s">
        <v>122</v>
      </c>
      <c r="E236" s="1">
        <v>1</v>
      </c>
      <c r="F236" s="1" t="s">
        <v>9</v>
      </c>
      <c r="G236" s="3" t="s">
        <v>271</v>
      </c>
    </row>
    <row r="237" spans="1:7">
      <c r="A237" s="1">
        <v>8</v>
      </c>
      <c r="B237" s="1">
        <v>27</v>
      </c>
      <c r="C237" t="s">
        <v>301</v>
      </c>
      <c r="D237" t="s">
        <v>122</v>
      </c>
      <c r="E237" s="1">
        <v>1</v>
      </c>
      <c r="F237" s="1" t="s">
        <v>9</v>
      </c>
      <c r="G237" s="3" t="s">
        <v>272</v>
      </c>
    </row>
    <row r="238" spans="1:7">
      <c r="E238" s="1"/>
    </row>
    <row r="239" spans="1:7">
      <c r="A239" s="1">
        <v>9</v>
      </c>
      <c r="B239" s="1">
        <v>1</v>
      </c>
      <c r="C239" t="s">
        <v>242</v>
      </c>
      <c r="D239" t="s">
        <v>122</v>
      </c>
      <c r="E239" s="1">
        <v>1</v>
      </c>
      <c r="F239" s="1" t="s">
        <v>9</v>
      </c>
      <c r="G239" s="3" t="s">
        <v>273</v>
      </c>
    </row>
    <row r="240" spans="1:7">
      <c r="A240" s="1">
        <v>9</v>
      </c>
      <c r="B240" s="1">
        <v>2</v>
      </c>
      <c r="C240" t="s">
        <v>213</v>
      </c>
      <c r="D240" t="s">
        <v>122</v>
      </c>
      <c r="E240" s="1">
        <v>1</v>
      </c>
      <c r="F240" s="1" t="s">
        <v>9</v>
      </c>
      <c r="G240" s="3" t="s">
        <v>274</v>
      </c>
    </row>
    <row r="241" spans="1:7">
      <c r="A241" s="1">
        <v>9</v>
      </c>
      <c r="B241" s="1">
        <v>3</v>
      </c>
      <c r="C241" t="s">
        <v>213</v>
      </c>
      <c r="D241" t="s">
        <v>122</v>
      </c>
      <c r="E241" s="1">
        <v>1</v>
      </c>
      <c r="F241" s="1" t="s">
        <v>9</v>
      </c>
      <c r="G241" s="3" t="s">
        <v>275</v>
      </c>
    </row>
    <row r="242" spans="1:7">
      <c r="A242" s="1">
        <v>9</v>
      </c>
      <c r="B242" s="1">
        <v>4</v>
      </c>
      <c r="C242" t="s">
        <v>242</v>
      </c>
      <c r="D242" t="s">
        <v>122</v>
      </c>
      <c r="E242" s="1">
        <v>1</v>
      </c>
      <c r="F242" s="1" t="s">
        <v>334</v>
      </c>
      <c r="G242" s="3" t="s">
        <v>277</v>
      </c>
    </row>
    <row r="243" spans="1:7">
      <c r="A243" s="1">
        <v>9</v>
      </c>
      <c r="B243" s="1">
        <v>5</v>
      </c>
      <c r="C243" t="s">
        <v>213</v>
      </c>
      <c r="D243" t="s">
        <v>122</v>
      </c>
      <c r="E243" s="1">
        <v>1</v>
      </c>
      <c r="F243" s="1" t="s">
        <v>9</v>
      </c>
      <c r="G243" s="3" t="s">
        <v>276</v>
      </c>
    </row>
    <row r="244" spans="1:7">
      <c r="A244" s="1">
        <v>9</v>
      </c>
      <c r="B244" s="1">
        <v>6</v>
      </c>
      <c r="C244" t="s">
        <v>213</v>
      </c>
      <c r="D244" t="s">
        <v>122</v>
      </c>
      <c r="E244" s="1">
        <v>1</v>
      </c>
      <c r="F244" s="1" t="s">
        <v>9</v>
      </c>
      <c r="G244" s="3" t="s">
        <v>278</v>
      </c>
    </row>
    <row r="245" spans="1:7">
      <c r="A245" s="1">
        <v>9</v>
      </c>
      <c r="B245" s="1">
        <v>7</v>
      </c>
      <c r="C245" t="s">
        <v>242</v>
      </c>
      <c r="D245" t="s">
        <v>122</v>
      </c>
      <c r="E245" s="1">
        <v>1</v>
      </c>
      <c r="F245" s="1" t="s">
        <v>9</v>
      </c>
      <c r="G245" s="3" t="s">
        <v>279</v>
      </c>
    </row>
    <row r="246" spans="1:7">
      <c r="A246" s="1">
        <v>9</v>
      </c>
      <c r="B246" s="1">
        <v>8</v>
      </c>
      <c r="C246" t="s">
        <v>213</v>
      </c>
      <c r="D246" t="s">
        <v>122</v>
      </c>
      <c r="E246" s="1">
        <v>1</v>
      </c>
      <c r="F246" s="1" t="s">
        <v>9</v>
      </c>
      <c r="G246" s="3" t="s">
        <v>280</v>
      </c>
    </row>
    <row r="247" spans="1:7">
      <c r="A247" s="1">
        <v>9</v>
      </c>
      <c r="B247" s="1">
        <v>9</v>
      </c>
      <c r="C247" t="s">
        <v>242</v>
      </c>
      <c r="D247" t="s">
        <v>122</v>
      </c>
      <c r="E247" s="1">
        <v>1</v>
      </c>
      <c r="F247" s="1" t="s">
        <v>335</v>
      </c>
      <c r="G247" s="3" t="s">
        <v>281</v>
      </c>
    </row>
    <row r="248" spans="1:7">
      <c r="A248" s="1">
        <v>9</v>
      </c>
      <c r="B248" s="1">
        <v>10</v>
      </c>
      <c r="C248" t="s">
        <v>213</v>
      </c>
      <c r="D248" t="s">
        <v>122</v>
      </c>
      <c r="E248" s="1">
        <v>1</v>
      </c>
      <c r="F248" s="1" t="s">
        <v>9</v>
      </c>
      <c r="G248" s="3" t="s">
        <v>282</v>
      </c>
    </row>
    <row r="249" spans="1:7">
      <c r="A249" s="1">
        <v>9</v>
      </c>
      <c r="B249" s="1">
        <v>11</v>
      </c>
      <c r="C249" t="s">
        <v>242</v>
      </c>
      <c r="D249" t="s">
        <v>122</v>
      </c>
      <c r="E249" s="1">
        <v>1</v>
      </c>
      <c r="F249" s="1" t="s">
        <v>334</v>
      </c>
      <c r="G249" s="3" t="s">
        <v>283</v>
      </c>
    </row>
    <row r="250" spans="1:7">
      <c r="A250" s="1">
        <v>9</v>
      </c>
      <c r="B250" s="1">
        <v>12</v>
      </c>
      <c r="C250" t="s">
        <v>242</v>
      </c>
      <c r="D250" t="s">
        <v>122</v>
      </c>
      <c r="E250" s="1">
        <v>1</v>
      </c>
      <c r="F250" s="1" t="s">
        <v>334</v>
      </c>
      <c r="G250" s="3" t="s">
        <v>284</v>
      </c>
    </row>
    <row r="251" spans="1:7">
      <c r="A251" s="1">
        <v>9</v>
      </c>
      <c r="B251" s="1">
        <v>13</v>
      </c>
      <c r="C251" t="s">
        <v>213</v>
      </c>
      <c r="D251" t="s">
        <v>122</v>
      </c>
      <c r="E251" s="1">
        <v>1</v>
      </c>
      <c r="F251" s="1" t="s">
        <v>9</v>
      </c>
      <c r="G251" s="3" t="s">
        <v>285</v>
      </c>
    </row>
    <row r="252" spans="1:7">
      <c r="A252" s="1">
        <v>9</v>
      </c>
      <c r="B252" s="1">
        <v>14</v>
      </c>
      <c r="C252" t="s">
        <v>213</v>
      </c>
      <c r="D252" t="s">
        <v>122</v>
      </c>
      <c r="E252" s="1">
        <v>1</v>
      </c>
      <c r="F252" s="1" t="s">
        <v>9</v>
      </c>
      <c r="G252" s="3" t="s">
        <v>286</v>
      </c>
    </row>
    <row r="253" spans="1:7">
      <c r="A253" s="1">
        <v>9</v>
      </c>
      <c r="B253" s="1">
        <v>15</v>
      </c>
      <c r="C253" t="s">
        <v>213</v>
      </c>
      <c r="D253" t="s">
        <v>122</v>
      </c>
      <c r="E253" s="1">
        <v>1</v>
      </c>
      <c r="F253" s="1" t="s">
        <v>9</v>
      </c>
      <c r="G253" s="3" t="s">
        <v>287</v>
      </c>
    </row>
    <row r="254" spans="1:7">
      <c r="A254" s="1">
        <v>9</v>
      </c>
      <c r="B254" s="1">
        <v>16</v>
      </c>
      <c r="C254" t="s">
        <v>213</v>
      </c>
      <c r="D254" t="s">
        <v>122</v>
      </c>
      <c r="E254" s="1">
        <v>1</v>
      </c>
      <c r="F254" s="1" t="s">
        <v>9</v>
      </c>
      <c r="G254" s="3" t="s">
        <v>288</v>
      </c>
    </row>
    <row r="255" spans="1:7">
      <c r="A255" s="1">
        <v>9</v>
      </c>
      <c r="B255" s="1">
        <v>17</v>
      </c>
      <c r="C255" t="s">
        <v>212</v>
      </c>
      <c r="D255" t="s">
        <v>122</v>
      </c>
      <c r="E255" s="1">
        <v>1</v>
      </c>
      <c r="F255" s="1" t="s">
        <v>9</v>
      </c>
      <c r="G255" s="3" t="s">
        <v>289</v>
      </c>
    </row>
    <row r="256" spans="1:7">
      <c r="A256" s="1">
        <v>9</v>
      </c>
      <c r="B256" s="1">
        <v>18</v>
      </c>
      <c r="C256" t="s">
        <v>213</v>
      </c>
      <c r="D256" t="s">
        <v>122</v>
      </c>
      <c r="E256" s="1">
        <v>1</v>
      </c>
      <c r="F256" s="1" t="s">
        <v>9</v>
      </c>
      <c r="G256" s="3" t="s">
        <v>290</v>
      </c>
    </row>
    <row r="257" spans="1:7">
      <c r="A257" s="1">
        <v>9</v>
      </c>
      <c r="B257" s="1">
        <v>19</v>
      </c>
      <c r="C257" t="s">
        <v>213</v>
      </c>
      <c r="D257" t="s">
        <v>122</v>
      </c>
      <c r="E257" s="1">
        <v>1</v>
      </c>
      <c r="F257" s="1" t="s">
        <v>9</v>
      </c>
      <c r="G257" s="3" t="s">
        <v>291</v>
      </c>
    </row>
    <row r="258" spans="1:7">
      <c r="A258" s="1">
        <v>9</v>
      </c>
      <c r="B258" s="1">
        <v>20</v>
      </c>
      <c r="C258" t="s">
        <v>212</v>
      </c>
      <c r="D258" t="s">
        <v>122</v>
      </c>
      <c r="E258" s="1">
        <v>1</v>
      </c>
      <c r="F258" s="1" t="s">
        <v>336</v>
      </c>
      <c r="G258" s="3" t="s">
        <v>293</v>
      </c>
    </row>
    <row r="259" spans="1:7">
      <c r="A259" s="1">
        <v>9</v>
      </c>
      <c r="B259" s="1">
        <v>21</v>
      </c>
      <c r="C259" t="s">
        <v>213</v>
      </c>
      <c r="D259" t="s">
        <v>122</v>
      </c>
      <c r="E259" s="1">
        <v>1</v>
      </c>
      <c r="F259" s="1" t="s">
        <v>9</v>
      </c>
      <c r="G259" s="3" t="s">
        <v>292</v>
      </c>
    </row>
    <row r="260" spans="1:7">
      <c r="A260" s="1">
        <v>9</v>
      </c>
      <c r="B260" s="1">
        <v>22</v>
      </c>
      <c r="C260" t="s">
        <v>213</v>
      </c>
      <c r="D260" t="s">
        <v>122</v>
      </c>
      <c r="E260" s="1">
        <v>1</v>
      </c>
      <c r="F260" s="1" t="s">
        <v>9</v>
      </c>
      <c r="G260" s="3" t="s">
        <v>294</v>
      </c>
    </row>
    <row r="261" spans="1:7">
      <c r="A261" s="1">
        <v>9</v>
      </c>
      <c r="B261" s="1">
        <v>23</v>
      </c>
      <c r="C261" t="s">
        <v>213</v>
      </c>
      <c r="D261" t="s">
        <v>122</v>
      </c>
      <c r="E261" s="1">
        <v>1</v>
      </c>
      <c r="F261" s="1" t="s">
        <v>9</v>
      </c>
      <c r="G261" s="3" t="s">
        <v>295</v>
      </c>
    </row>
    <row r="262" spans="1:7">
      <c r="A262" s="1">
        <v>9</v>
      </c>
      <c r="B262" s="1">
        <v>24</v>
      </c>
      <c r="C262" t="s">
        <v>212</v>
      </c>
      <c r="D262" t="s">
        <v>122</v>
      </c>
      <c r="E262" s="1">
        <v>1</v>
      </c>
      <c r="F262" s="1" t="s">
        <v>9</v>
      </c>
      <c r="G262" s="3" t="s">
        <v>296</v>
      </c>
    </row>
    <row r="263" spans="1:7">
      <c r="A263" s="1">
        <v>9</v>
      </c>
      <c r="B263" s="1">
        <v>25</v>
      </c>
      <c r="C263" t="s">
        <v>213</v>
      </c>
      <c r="D263" t="s">
        <v>122</v>
      </c>
      <c r="E263" s="1">
        <v>1</v>
      </c>
      <c r="F263" s="1" t="s">
        <v>9</v>
      </c>
      <c r="G263" s="3" t="s">
        <v>297</v>
      </c>
    </row>
    <row r="264" spans="1:7">
      <c r="A264" s="1">
        <v>9</v>
      </c>
      <c r="B264" s="1">
        <v>26</v>
      </c>
      <c r="C264" t="s">
        <v>212</v>
      </c>
      <c r="D264" t="s">
        <v>122</v>
      </c>
      <c r="E264" s="1">
        <v>1</v>
      </c>
      <c r="F264" s="1" t="s">
        <v>9</v>
      </c>
      <c r="G264" s="3" t="s">
        <v>298</v>
      </c>
    </row>
    <row r="265" spans="1:7">
      <c r="A265" s="1">
        <v>9</v>
      </c>
      <c r="B265" s="1">
        <v>27</v>
      </c>
      <c r="C265" t="s">
        <v>213</v>
      </c>
      <c r="D265" t="s">
        <v>122</v>
      </c>
      <c r="E265" s="1">
        <v>1</v>
      </c>
      <c r="F265" s="1" t="s">
        <v>9</v>
      </c>
      <c r="G265" s="3" t="s">
        <v>299</v>
      </c>
    </row>
    <row r="266" spans="1:7">
      <c r="A266" s="1">
        <v>9</v>
      </c>
      <c r="B266" s="1">
        <v>28</v>
      </c>
      <c r="C266" t="s">
        <v>212</v>
      </c>
      <c r="D266" t="s">
        <v>122</v>
      </c>
      <c r="E266" s="1">
        <v>1</v>
      </c>
      <c r="F266" s="1" t="s">
        <v>9</v>
      </c>
      <c r="G266" s="3" t="s">
        <v>300</v>
      </c>
    </row>
    <row r="267" spans="1:7">
      <c r="A267" s="1">
        <v>9</v>
      </c>
      <c r="B267" s="1">
        <v>29</v>
      </c>
      <c r="C267" t="s">
        <v>212</v>
      </c>
      <c r="D267" t="s">
        <v>122</v>
      </c>
      <c r="E267" s="1">
        <v>1</v>
      </c>
      <c r="F267" s="1" t="s">
        <v>9</v>
      </c>
      <c r="G267" s="3" t="s">
        <v>298</v>
      </c>
    </row>
    <row r="268" spans="1:7">
      <c r="A268" t="s">
        <v>314</v>
      </c>
      <c r="E268" s="1"/>
      <c r="F268" s="1" t="s">
        <v>9</v>
      </c>
    </row>
    <row r="269" spans="1:7">
      <c r="A269" s="1">
        <v>10</v>
      </c>
      <c r="B269" s="1">
        <v>1</v>
      </c>
      <c r="C269" t="s">
        <v>216</v>
      </c>
      <c r="D269" t="s">
        <v>122</v>
      </c>
      <c r="E269" s="1">
        <v>1</v>
      </c>
      <c r="F269" s="1" t="s">
        <v>9</v>
      </c>
      <c r="G269" s="3" t="s">
        <v>302</v>
      </c>
    </row>
    <row r="270" spans="1:7">
      <c r="A270" s="1">
        <v>10</v>
      </c>
      <c r="B270" s="1">
        <v>2</v>
      </c>
      <c r="C270" t="s">
        <v>212</v>
      </c>
      <c r="D270" t="s">
        <v>122</v>
      </c>
      <c r="E270" s="1">
        <v>1</v>
      </c>
      <c r="F270" s="1" t="s">
        <v>337</v>
      </c>
      <c r="G270" s="3" t="s">
        <v>303</v>
      </c>
    </row>
    <row r="271" spans="1:7">
      <c r="A271" s="1">
        <v>10</v>
      </c>
      <c r="B271" s="1">
        <v>3</v>
      </c>
      <c r="C271" t="s">
        <v>213</v>
      </c>
      <c r="D271" t="s">
        <v>122</v>
      </c>
      <c r="E271" s="1">
        <v>1</v>
      </c>
      <c r="F271" s="1" t="s">
        <v>9</v>
      </c>
      <c r="G271" s="3" t="s">
        <v>304</v>
      </c>
    </row>
    <row r="272" spans="1:7">
      <c r="A272" s="1">
        <v>10</v>
      </c>
      <c r="B272" s="1">
        <v>4</v>
      </c>
      <c r="C272" t="s">
        <v>212</v>
      </c>
      <c r="D272" t="s">
        <v>122</v>
      </c>
      <c r="E272" s="1">
        <v>1</v>
      </c>
      <c r="F272" s="1" t="s">
        <v>9</v>
      </c>
      <c r="G272" s="3" t="s">
        <v>305</v>
      </c>
    </row>
    <row r="273" spans="1:7">
      <c r="A273" s="1">
        <v>10</v>
      </c>
      <c r="B273" s="1">
        <v>5</v>
      </c>
      <c r="C273" t="s">
        <v>213</v>
      </c>
      <c r="D273" t="s">
        <v>122</v>
      </c>
      <c r="E273" s="1">
        <v>1</v>
      </c>
      <c r="F273" s="1" t="s">
        <v>9</v>
      </c>
      <c r="G273" s="3" t="s">
        <v>306</v>
      </c>
    </row>
    <row r="274" spans="1:7">
      <c r="A274" s="1">
        <v>10</v>
      </c>
      <c r="B274" s="1">
        <v>6</v>
      </c>
      <c r="C274" t="s">
        <v>212</v>
      </c>
      <c r="D274" t="s">
        <v>122</v>
      </c>
      <c r="E274" s="1">
        <v>1</v>
      </c>
      <c r="F274" s="1" t="s">
        <v>338</v>
      </c>
      <c r="G274" s="3" t="s">
        <v>308</v>
      </c>
    </row>
    <row r="275" spans="1:7">
      <c r="A275" s="1">
        <v>10</v>
      </c>
      <c r="B275" s="1">
        <v>7</v>
      </c>
      <c r="C275" t="s">
        <v>212</v>
      </c>
      <c r="D275" t="s">
        <v>122</v>
      </c>
      <c r="E275" s="1">
        <v>1</v>
      </c>
      <c r="F275" s="1" t="s">
        <v>9</v>
      </c>
      <c r="G275" s="3" t="s">
        <v>307</v>
      </c>
    </row>
    <row r="276" spans="1:7">
      <c r="A276" s="1">
        <v>10</v>
      </c>
      <c r="B276" s="1">
        <v>8</v>
      </c>
      <c r="C276" t="s">
        <v>213</v>
      </c>
      <c r="D276" t="s">
        <v>122</v>
      </c>
      <c r="E276" s="1">
        <v>1</v>
      </c>
      <c r="F276" s="1" t="s">
        <v>9</v>
      </c>
      <c r="G276" s="3" t="s">
        <v>309</v>
      </c>
    </row>
    <row r="277" spans="1:7">
      <c r="A277" s="1">
        <v>10</v>
      </c>
      <c r="B277" s="1">
        <v>9</v>
      </c>
      <c r="C277" t="s">
        <v>213</v>
      </c>
      <c r="D277" t="s">
        <v>122</v>
      </c>
      <c r="E277" s="1">
        <v>1</v>
      </c>
      <c r="F277" s="1" t="s">
        <v>9</v>
      </c>
      <c r="G277" s="3" t="s">
        <v>310</v>
      </c>
    </row>
    <row r="278" spans="1:7">
      <c r="A278" s="1">
        <v>10</v>
      </c>
      <c r="B278" s="1">
        <v>10</v>
      </c>
      <c r="C278" t="s">
        <v>212</v>
      </c>
      <c r="D278" t="s">
        <v>122</v>
      </c>
      <c r="E278" s="1">
        <v>1</v>
      </c>
      <c r="F278" s="1" t="s">
        <v>335</v>
      </c>
      <c r="G278" s="3" t="s">
        <v>311</v>
      </c>
    </row>
    <row r="279" spans="1:7">
      <c r="A279" s="1">
        <v>10</v>
      </c>
      <c r="B279" s="1">
        <v>11</v>
      </c>
      <c r="C279" t="s">
        <v>212</v>
      </c>
      <c r="D279" t="s">
        <v>122</v>
      </c>
      <c r="E279" s="1">
        <v>1</v>
      </c>
      <c r="F279" s="1" t="s">
        <v>83</v>
      </c>
      <c r="G279" s="3" t="s">
        <v>313</v>
      </c>
    </row>
    <row r="280" spans="1:7">
      <c r="A280" s="1">
        <v>10</v>
      </c>
      <c r="B280" s="1">
        <v>12</v>
      </c>
      <c r="C280" t="s">
        <v>213</v>
      </c>
      <c r="D280" t="s">
        <v>122</v>
      </c>
      <c r="E280" s="1">
        <v>1</v>
      </c>
      <c r="F280" s="1" t="s">
        <v>9</v>
      </c>
      <c r="G280" s="3" t="s">
        <v>312</v>
      </c>
    </row>
    <row r="281" spans="1:7">
      <c r="A281" s="1"/>
      <c r="B281" s="1"/>
      <c r="E281" s="1"/>
      <c r="F281" s="1"/>
    </row>
    <row r="282" spans="1:7">
      <c r="A282" t="s">
        <v>315</v>
      </c>
      <c r="E282" s="1"/>
      <c r="F282" s="1"/>
    </row>
    <row r="283" spans="1:7">
      <c r="A283" s="1">
        <v>11</v>
      </c>
      <c r="B283" s="1">
        <v>1</v>
      </c>
      <c r="C283" t="s">
        <v>213</v>
      </c>
      <c r="D283" t="s">
        <v>122</v>
      </c>
      <c r="E283">
        <v>1</v>
      </c>
      <c r="F283" s="1" t="s">
        <v>9</v>
      </c>
      <c r="G283" s="3" t="s">
        <v>316</v>
      </c>
    </row>
    <row r="284" spans="1:7">
      <c r="A284" s="1">
        <v>11</v>
      </c>
      <c r="B284" s="1">
        <v>2</v>
      </c>
      <c r="C284" t="s">
        <v>213</v>
      </c>
      <c r="D284" t="s">
        <v>122</v>
      </c>
      <c r="E284">
        <v>1</v>
      </c>
      <c r="F284" s="1" t="s">
        <v>9</v>
      </c>
      <c r="G284" s="3" t="s">
        <v>317</v>
      </c>
    </row>
    <row r="285" spans="1:7">
      <c r="A285" s="1">
        <v>11</v>
      </c>
      <c r="B285" s="1">
        <v>3</v>
      </c>
      <c r="C285" t="s">
        <v>212</v>
      </c>
      <c r="D285" t="s">
        <v>122</v>
      </c>
      <c r="E285">
        <v>1</v>
      </c>
      <c r="F285" s="1" t="s">
        <v>336</v>
      </c>
      <c r="G285" s="3" t="s">
        <v>318</v>
      </c>
    </row>
    <row r="286" spans="1:7">
      <c r="A286" s="1">
        <v>11</v>
      </c>
      <c r="B286" s="1">
        <v>4</v>
      </c>
      <c r="C286" t="s">
        <v>212</v>
      </c>
      <c r="D286" t="s">
        <v>122</v>
      </c>
      <c r="E286">
        <v>1</v>
      </c>
      <c r="F286" s="1" t="s">
        <v>9</v>
      </c>
      <c r="G286" s="3" t="s">
        <v>319</v>
      </c>
    </row>
    <row r="287" spans="1:7">
      <c r="A287" s="1">
        <v>11</v>
      </c>
      <c r="B287" s="1">
        <v>5</v>
      </c>
      <c r="C287" t="s">
        <v>213</v>
      </c>
      <c r="D287" t="s">
        <v>122</v>
      </c>
      <c r="E287">
        <v>1</v>
      </c>
      <c r="F287" s="1" t="s">
        <v>9</v>
      </c>
      <c r="G287" s="3" t="s">
        <v>320</v>
      </c>
    </row>
    <row r="288" spans="1:7">
      <c r="A288" s="1">
        <v>11</v>
      </c>
      <c r="B288" s="1">
        <v>6</v>
      </c>
      <c r="C288" t="s">
        <v>213</v>
      </c>
      <c r="D288" t="s">
        <v>122</v>
      </c>
      <c r="E288">
        <v>1</v>
      </c>
      <c r="F288" s="1" t="s">
        <v>9</v>
      </c>
      <c r="G288" s="3" t="s">
        <v>321</v>
      </c>
    </row>
    <row r="289" spans="1:7">
      <c r="A289" s="1">
        <v>11</v>
      </c>
      <c r="B289" s="1">
        <v>7</v>
      </c>
      <c r="C289" t="s">
        <v>213</v>
      </c>
      <c r="D289" t="s">
        <v>122</v>
      </c>
      <c r="E289">
        <v>1</v>
      </c>
      <c r="F289" s="1" t="s">
        <v>9</v>
      </c>
      <c r="G289" s="3" t="s">
        <v>322</v>
      </c>
    </row>
    <row r="290" spans="1:7">
      <c r="A290" s="1">
        <v>11</v>
      </c>
      <c r="B290" s="1">
        <v>8</v>
      </c>
      <c r="C290" t="s">
        <v>213</v>
      </c>
      <c r="D290" t="s">
        <v>122</v>
      </c>
      <c r="E290">
        <v>1</v>
      </c>
      <c r="F290" s="1" t="s">
        <v>9</v>
      </c>
      <c r="G290" s="3" t="s">
        <v>323</v>
      </c>
    </row>
    <row r="291" spans="1:7">
      <c r="A291" s="1">
        <v>11</v>
      </c>
      <c r="B291" s="1">
        <v>9</v>
      </c>
      <c r="C291" t="s">
        <v>213</v>
      </c>
      <c r="D291" t="s">
        <v>122</v>
      </c>
      <c r="E291">
        <v>1</v>
      </c>
      <c r="F291" s="1" t="s">
        <v>9</v>
      </c>
      <c r="G291" s="3" t="s">
        <v>324</v>
      </c>
    </row>
    <row r="292" spans="1:7">
      <c r="A292" s="1">
        <v>11</v>
      </c>
      <c r="B292" s="1">
        <v>10</v>
      </c>
      <c r="C292" t="s">
        <v>242</v>
      </c>
      <c r="D292" t="s">
        <v>122</v>
      </c>
      <c r="E292">
        <v>1</v>
      </c>
      <c r="F292" s="1" t="s">
        <v>9</v>
      </c>
      <c r="G292" s="3" t="s">
        <v>333</v>
      </c>
    </row>
    <row r="293" spans="1:7">
      <c r="A293" s="1">
        <v>11</v>
      </c>
      <c r="B293" s="1">
        <v>11</v>
      </c>
      <c r="C293" t="s">
        <v>213</v>
      </c>
      <c r="D293" t="s">
        <v>122</v>
      </c>
      <c r="E293">
        <v>1</v>
      </c>
      <c r="F293" s="1" t="s">
        <v>9</v>
      </c>
      <c r="G293" s="3" t="s">
        <v>325</v>
      </c>
    </row>
    <row r="294" spans="1:7">
      <c r="A294" s="1">
        <v>11</v>
      </c>
      <c r="B294" s="1">
        <v>12</v>
      </c>
      <c r="C294" t="s">
        <v>213</v>
      </c>
      <c r="D294" t="s">
        <v>122</v>
      </c>
      <c r="E294">
        <v>1</v>
      </c>
      <c r="F294" s="1" t="s">
        <v>9</v>
      </c>
      <c r="G294" s="3" t="s">
        <v>291</v>
      </c>
    </row>
    <row r="295" spans="1:7">
      <c r="A295" s="1">
        <v>11</v>
      </c>
      <c r="B295" s="1">
        <v>13</v>
      </c>
      <c r="C295" t="s">
        <v>242</v>
      </c>
      <c r="D295" t="s">
        <v>122</v>
      </c>
      <c r="E295">
        <v>1</v>
      </c>
      <c r="F295" s="1" t="s">
        <v>9</v>
      </c>
      <c r="G295" s="3" t="s">
        <v>326</v>
      </c>
    </row>
    <row r="296" spans="1:7">
      <c r="A296" s="1">
        <v>11</v>
      </c>
      <c r="B296" s="1">
        <v>14</v>
      </c>
      <c r="C296" t="s">
        <v>242</v>
      </c>
      <c r="D296" t="s">
        <v>122</v>
      </c>
      <c r="E296">
        <v>1</v>
      </c>
      <c r="F296" s="1" t="s">
        <v>339</v>
      </c>
      <c r="G296" s="3" t="s">
        <v>327</v>
      </c>
    </row>
    <row r="297" spans="1:7">
      <c r="A297" s="1">
        <v>11</v>
      </c>
      <c r="B297" s="1">
        <v>15</v>
      </c>
      <c r="C297" t="s">
        <v>213</v>
      </c>
      <c r="D297" t="s">
        <v>122</v>
      </c>
      <c r="E297">
        <v>1</v>
      </c>
      <c r="F297" s="1" t="s">
        <v>9</v>
      </c>
      <c r="G297" s="3" t="s">
        <v>328</v>
      </c>
    </row>
    <row r="298" spans="1:7">
      <c r="A298" s="1">
        <v>11</v>
      </c>
      <c r="B298" s="1">
        <v>16</v>
      </c>
      <c r="C298" t="s">
        <v>242</v>
      </c>
      <c r="D298" t="s">
        <v>122</v>
      </c>
      <c r="E298">
        <v>1</v>
      </c>
      <c r="F298" s="1" t="s">
        <v>340</v>
      </c>
      <c r="G298" s="3" t="s">
        <v>329</v>
      </c>
    </row>
    <row r="299" spans="1:7">
      <c r="A299" s="1">
        <v>11</v>
      </c>
      <c r="B299" s="1">
        <v>17</v>
      </c>
      <c r="C299" t="s">
        <v>213</v>
      </c>
      <c r="D299" t="s">
        <v>122</v>
      </c>
      <c r="E299">
        <v>1</v>
      </c>
      <c r="F299" s="1" t="s">
        <v>9</v>
      </c>
      <c r="G299" s="3" t="s">
        <v>330</v>
      </c>
    </row>
    <row r="300" spans="1:7">
      <c r="A300" s="1">
        <v>11</v>
      </c>
      <c r="B300" s="1">
        <v>18</v>
      </c>
      <c r="C300" t="s">
        <v>213</v>
      </c>
      <c r="D300" t="s">
        <v>122</v>
      </c>
      <c r="E300">
        <v>1</v>
      </c>
      <c r="F300" s="1" t="s">
        <v>9</v>
      </c>
      <c r="G300" s="3" t="s">
        <v>331</v>
      </c>
    </row>
    <row r="301" spans="1:7">
      <c r="A301" s="1">
        <v>11</v>
      </c>
      <c r="B301" s="1">
        <v>19</v>
      </c>
      <c r="C301" t="s">
        <v>213</v>
      </c>
      <c r="D301" t="s">
        <v>122</v>
      </c>
      <c r="E301">
        <v>1</v>
      </c>
      <c r="F301" s="1" t="s">
        <v>9</v>
      </c>
      <c r="G301" s="3" t="s">
        <v>332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"/>
  <sheetViews>
    <sheetView workbookViewId="0">
      <selection activeCell="G17" sqref="G17"/>
    </sheetView>
  </sheetViews>
  <sheetFormatPr defaultRowHeight="16.5"/>
  <sheetData>
    <row r="1" spans="1:8">
      <c r="A1" s="1" t="s">
        <v>4</v>
      </c>
      <c r="B1" s="1" t="s">
        <v>0</v>
      </c>
      <c r="C1" s="1" t="s">
        <v>1</v>
      </c>
      <c r="D1" s="1" t="s">
        <v>5</v>
      </c>
      <c r="E1" s="1" t="s">
        <v>6</v>
      </c>
      <c r="F1" s="1" t="s">
        <v>7</v>
      </c>
      <c r="G1" s="1" t="s">
        <v>2</v>
      </c>
      <c r="H1" s="1" t="s">
        <v>3</v>
      </c>
    </row>
    <row r="2" spans="1:8">
      <c r="A2" s="1">
        <v>1</v>
      </c>
      <c r="B2" s="1">
        <v>1</v>
      </c>
      <c r="C2" s="1" t="s">
        <v>8</v>
      </c>
      <c r="D2" s="1">
        <v>-400</v>
      </c>
      <c r="E2" s="1">
        <v>1</v>
      </c>
      <c r="F2" s="1" t="s">
        <v>9</v>
      </c>
      <c r="G2" t="s">
        <v>10</v>
      </c>
      <c r="H2" s="1" t="s">
        <v>11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StoryScript</vt:lpstr>
      <vt:lpstr>TestScript2</vt:lpstr>
      <vt:lpstr>Defalt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eungy jang</dc:creator>
  <cp:lastModifiedBy>이성준</cp:lastModifiedBy>
  <dcterms:created xsi:type="dcterms:W3CDTF">2019-08-23T09:25:06Z</dcterms:created>
  <dcterms:modified xsi:type="dcterms:W3CDTF">2021-04-05T11:14:46Z</dcterms:modified>
</cp:coreProperties>
</file>